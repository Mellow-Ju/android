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종목 관리" sheetId="1" r:id="rId5"/>
    <sheet state="visible" name="포트폴리오 요약" sheetId="2" r:id="rId6"/>
    <sheet state="visible" name="매수매도" sheetId="3" r:id="rId7"/>
    <sheet state="visible" name="Dash board" sheetId="4" r:id="rId8"/>
    <sheet state="visible" name="IRP DashBoard" sheetId="5" r:id="rId9"/>
    <sheet state="visible" name="연금저축DashBoard" sheetId="6" r:id="rId10"/>
    <sheet state="visible" name="연금저축2 DashBoard" sheetId="7" r:id="rId11"/>
    <sheet state="visible" name="ISA DashBoard" sheetId="8" r:id="rId12"/>
    <sheet state="visible" name="배당금 입력" sheetId="9" r:id="rId13"/>
    <sheet state="visible" name="Dash board(2025.09.21)" sheetId="10" r:id="rId14"/>
    <sheet state="visible" name="Dash board_20250717" sheetId="11" r:id="rId15"/>
    <sheet state="visible" name="Dash board_20250713" sheetId="12" r:id="rId16"/>
    <sheet state="visible" name="Dash board_20250522" sheetId="13" r:id="rId17"/>
    <sheet state="visible" name="Dash board_20250310" sheetId="14" r:id="rId18"/>
  </sheets>
  <definedNames>
    <definedName hidden="1" localSheetId="2" name="_xlnm._FilterDatabase">'매수매도'!$D$1:$D$797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tc={04a1e6b1-c874-413b-b475-20150fa6d281}</author>
    <author>tc={faf80b15-7d3d-49b1-bd2b-56ffe5fb9557}</author>
  </authors>
  <commentList>
    <comment authorId="0" xr:uid="{04a1e6b1-c874-413b-b475-20150fa6d2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단가틀림
</t>
      </text>
    </comment>
    <comment authorId="1" xr:uid="{faf80b15-7d3d-49b1-bd2b-56ffe5fb95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단가가 틀림
</t>
      </text>
    </comment>
  </commentList>
</comments>
</file>

<file path=xl/sharedStrings.xml><?xml version="1.0" encoding="utf-8"?>
<sst xmlns="http://schemas.openxmlformats.org/spreadsheetml/2006/main" count="4190" uniqueCount="227">
  <si>
    <t>인덱스</t>
  </si>
  <si>
    <t>종목명</t>
  </si>
  <si>
    <t>해외/국내</t>
  </si>
  <si>
    <t>Ticker</t>
  </si>
  <si>
    <t>자산군</t>
  </si>
  <si>
    <t>분류</t>
  </si>
  <si>
    <t>TIGER 미국필라델피아반도체나스닥</t>
  </si>
  <si>
    <t>국내</t>
  </si>
  <si>
    <t>381180</t>
  </si>
  <si>
    <t>해외주식</t>
  </si>
  <si>
    <t>반도체 지수</t>
  </si>
  <si>
    <t>VanEck Semiconductor ETF</t>
  </si>
  <si>
    <t>해외</t>
  </si>
  <si>
    <t>SMH</t>
  </si>
  <si>
    <t>ACE 미국달러 SORF 금리(합성)</t>
  </si>
  <si>
    <t>456880</t>
  </si>
  <si>
    <t>달러</t>
  </si>
  <si>
    <t>Tiger 미국 S&amp;P 500</t>
  </si>
  <si>
    <t>360750</t>
  </si>
  <si>
    <t xml:space="preserve"> S&amp;P 500 지수</t>
  </si>
  <si>
    <t>Tiger 미국배당다우존스</t>
  </si>
  <si>
    <t>458730</t>
  </si>
  <si>
    <t>다우존스지수</t>
  </si>
  <si>
    <t>Ace 미국나스닥 100</t>
  </si>
  <si>
    <t>367380</t>
  </si>
  <si>
    <t>나스닥 지수</t>
  </si>
  <si>
    <t>Ace Krx 금현물</t>
  </si>
  <si>
    <t>411060</t>
  </si>
  <si>
    <t>금</t>
  </si>
  <si>
    <t>Tiger 미국채10년선물</t>
  </si>
  <si>
    <t>305080</t>
  </si>
  <si>
    <t>채권</t>
  </si>
  <si>
    <t>KODEX미국S&amp;P500TR</t>
  </si>
  <si>
    <t>379800</t>
  </si>
  <si>
    <t>KODEX 200TR</t>
  </si>
  <si>
    <t>278530</t>
  </si>
  <si>
    <t>국내주식</t>
  </si>
  <si>
    <t>삼성전자</t>
  </si>
  <si>
    <t>005930</t>
  </si>
  <si>
    <t>삼성전자우</t>
  </si>
  <si>
    <t>005935</t>
  </si>
  <si>
    <t>마이크로소프트</t>
  </si>
  <si>
    <t>MSFT</t>
  </si>
  <si>
    <t>리얼티 인컴</t>
  </si>
  <si>
    <t>O</t>
  </si>
  <si>
    <t>배당주/부동산</t>
  </si>
  <si>
    <t>Vanguard S&amp;P 500 ETF</t>
  </si>
  <si>
    <t>VOO</t>
  </si>
  <si>
    <t>KODEX 신재생에너지액티브</t>
  </si>
  <si>
    <t>385510</t>
  </si>
  <si>
    <t>Health Care Select Sector SPDR Fund</t>
  </si>
  <si>
    <t>XLV</t>
  </si>
  <si>
    <t>헬스케어 지수</t>
  </si>
  <si>
    <t>KODEX TDF2050액티브</t>
  </si>
  <si>
    <t>434060</t>
  </si>
  <si>
    <t>팔란티어</t>
  </si>
  <si>
    <t>PLTR</t>
  </si>
  <si>
    <t>KODEX 미국 AI 전력 핵심 인프라</t>
  </si>
  <si>
    <t>487230</t>
  </si>
  <si>
    <t>QQQM</t>
  </si>
  <si>
    <t>KODEX K방산TOP10</t>
  </si>
  <si>
    <t>0080G0</t>
  </si>
  <si>
    <t>방산</t>
  </si>
  <si>
    <t>코카콜라</t>
  </si>
  <si>
    <t>KO</t>
  </si>
  <si>
    <t>KB금융</t>
  </si>
  <si>
    <t>105560</t>
  </si>
  <si>
    <t>엔비디아</t>
  </si>
  <si>
    <t>NVDA</t>
  </si>
  <si>
    <t>TSMC ADM</t>
  </si>
  <si>
    <t>TSM</t>
  </si>
  <si>
    <t>Vanguard High Dividend Yield ETF</t>
  </si>
  <si>
    <t>VYM</t>
  </si>
  <si>
    <t>iShares PHLX Semiconductor ETF</t>
  </si>
  <si>
    <t>SOXX</t>
  </si>
  <si>
    <t>삼성증권</t>
  </si>
  <si>
    <t>016360</t>
  </si>
  <si>
    <t>TIGER 리츠부동산인프라TOP10액티브</t>
  </si>
  <si>
    <t>0086B0</t>
  </si>
  <si>
    <t>Apple</t>
  </si>
  <si>
    <t>AAPL</t>
  </si>
  <si>
    <t>TIGER 소프트웨어</t>
  </si>
  <si>
    <t>157490</t>
  </si>
  <si>
    <t>POSCO홀딩스</t>
  </si>
  <si>
    <t>005490</t>
  </si>
  <si>
    <t>화이자</t>
  </si>
  <si>
    <t>PFE</t>
  </si>
  <si>
    <t>퀄컴</t>
  </si>
  <si>
    <t>QCOM</t>
  </si>
  <si>
    <t>Tiger소프트웨어</t>
  </si>
  <si>
    <t>이마트</t>
  </si>
  <si>
    <t>139480</t>
  </si>
  <si>
    <t>보유수량</t>
  </si>
  <si>
    <t>보유금액(KRW)</t>
  </si>
  <si>
    <t>비중(%)</t>
  </si>
  <si>
    <t>금 합계</t>
  </si>
  <si>
    <t>달러 합계</t>
  </si>
  <si>
    <t>배당주/부동산 합계</t>
  </si>
  <si>
    <t>채권 합계</t>
  </si>
  <si>
    <t>국내주식 합계</t>
  </si>
  <si>
    <t>해외주식 합계</t>
  </si>
  <si>
    <t>년</t>
  </si>
  <si>
    <t>월</t>
  </si>
  <si>
    <t>일</t>
  </si>
  <si>
    <t>매수/매도 가격</t>
  </si>
  <si>
    <t>주식 수</t>
  </si>
  <si>
    <t>총 금액</t>
  </si>
  <si>
    <t>거래유형</t>
  </si>
  <si>
    <t>매수/매도 계좌</t>
  </si>
  <si>
    <t>증권사</t>
  </si>
  <si>
    <t>매수</t>
  </si>
  <si>
    <t>일반계좌</t>
  </si>
  <si>
    <t>삼성</t>
  </si>
  <si>
    <t>✅</t>
  </si>
  <si>
    <t>키움</t>
  </si>
  <si>
    <t>LS(구 이베스트)</t>
  </si>
  <si>
    <t>토스</t>
  </si>
  <si>
    <t>분할됨</t>
  </si>
  <si>
    <t>신한?:</t>
  </si>
  <si>
    <t>연금저축</t>
  </si>
  <si>
    <t>매도</t>
  </si>
  <si>
    <t>신한</t>
  </si>
  <si>
    <t>날짜 확인 필요</t>
  </si>
  <si>
    <t>IRP</t>
  </si>
  <si>
    <t>날짜확인필요</t>
  </si>
  <si>
    <t>연금저축2</t>
  </si>
  <si>
    <t>Index</t>
  </si>
  <si>
    <t>총 주식수</t>
  </si>
  <si>
    <t>평균 단가</t>
  </si>
  <si>
    <t>총 투자금</t>
  </si>
  <si>
    <t>현재가</t>
  </si>
  <si>
    <t>자산가치</t>
  </si>
  <si>
    <t>수익금액</t>
  </si>
  <si>
    <t>수익률</t>
  </si>
  <si>
    <t>투자금 (USD)</t>
  </si>
  <si>
    <t>자산 (USD)</t>
  </si>
  <si>
    <t>자산 (KRW)</t>
  </si>
  <si>
    <t>비중</t>
  </si>
  <si>
    <t>총 자산가치</t>
  </si>
  <si>
    <t>총 수익금액</t>
  </si>
  <si>
    <t>총 수익률</t>
  </si>
  <si>
    <t>26.5.3 확인완료</t>
  </si>
  <si>
    <t>총 자산합계:</t>
  </si>
  <si>
    <t>년도</t>
  </si>
  <si>
    <t>배당금</t>
  </si>
  <si>
    <t>주당배당금</t>
  </si>
  <si>
    <t>스타벅스</t>
  </si>
  <si>
    <t>TIGER 미국다우존스30</t>
  </si>
  <si>
    <t>퇴직연금계좌</t>
  </si>
  <si>
    <t>씨티그룹</t>
  </si>
  <si>
    <t>애플</t>
  </si>
  <si>
    <t>SPDR S&amp;P 500 Trust ETF</t>
  </si>
  <si>
    <t>iShares Core S&amp;P 500 ETF</t>
  </si>
  <si>
    <t>SPG</t>
  </si>
  <si>
    <t>IVV</t>
  </si>
  <si>
    <t>IEUR</t>
  </si>
  <si>
    <t>리얼티인컴</t>
  </si>
  <si>
    <t>TIGER 미국배당다우존스</t>
  </si>
  <si>
    <t>SOL미국배당다우존스</t>
  </si>
  <si>
    <t>POSCO</t>
  </si>
  <si>
    <t>ASML(삼성) 1주</t>
  </si>
  <si>
    <t>Ace미국S&amp;P500</t>
  </si>
  <si>
    <t>Tiger미국필라델피아반도체나스닥</t>
  </si>
  <si>
    <t>Tiger미국S&amp;P500</t>
  </si>
  <si>
    <t xml:space="preserve">Tiger미국나스닥100 </t>
  </si>
  <si>
    <t>SPY(삼성)</t>
  </si>
  <si>
    <t>SPY(신한)</t>
  </si>
  <si>
    <t>PM (신한)</t>
  </si>
  <si>
    <t>TSMC</t>
  </si>
  <si>
    <t>필립모리스</t>
  </si>
  <si>
    <t>BAC</t>
  </si>
  <si>
    <t>SOXX 1주</t>
  </si>
  <si>
    <t>VOO 1주</t>
  </si>
  <si>
    <t>나이키</t>
  </si>
  <si>
    <t>사이먼프로퍼티</t>
  </si>
  <si>
    <t>리얼티인컴(삼성, 토스)</t>
  </si>
  <si>
    <t>화이자(삼성, 키움, 토스)</t>
  </si>
  <si>
    <t>SK</t>
  </si>
  <si>
    <t>씨티은행</t>
  </si>
  <si>
    <t>애플(삼성, 신한, 토스)</t>
  </si>
  <si>
    <t>ASML(신한)</t>
  </si>
  <si>
    <t>KODEX 차이나항셍테크</t>
  </si>
  <si>
    <t>Tiger미국다우존스30</t>
  </si>
  <si>
    <t>필립모리스(삼성)</t>
  </si>
  <si>
    <t>나이키 2주</t>
  </si>
  <si>
    <t>BOA 1주</t>
  </si>
  <si>
    <t>Coke</t>
  </si>
  <si>
    <t>사이먼프로퍼티 1.542962주</t>
  </si>
  <si>
    <t>IVV 2주</t>
  </si>
  <si>
    <t>IEUR 1주</t>
  </si>
  <si>
    <t>Tiger KRX바이오K-뉴딜</t>
  </si>
  <si>
    <t>TIGER소프트웨어</t>
  </si>
  <si>
    <t>삼성전기</t>
  </si>
  <si>
    <t>사이먼프로퍼티 1.xx주</t>
  </si>
  <si>
    <t>IVV 3주</t>
  </si>
  <si>
    <t>NVidia</t>
  </si>
  <si>
    <t>PM (삼성)</t>
  </si>
  <si>
    <t>알파벳</t>
  </si>
  <si>
    <t>Realty Income Corp</t>
  </si>
  <si>
    <t>Pfizer</t>
  </si>
  <si>
    <t>MicroSoft</t>
  </si>
  <si>
    <t>Starbucks</t>
  </si>
  <si>
    <t>필립 모리스 인터내셔널</t>
  </si>
  <si>
    <t>SPDR S&amp;P 500</t>
  </si>
  <si>
    <t>ASML 홀딩 ADR</t>
  </si>
  <si>
    <t>TIGER 미국나스닥100</t>
  </si>
  <si>
    <t>TSMC ADR</t>
  </si>
  <si>
    <t>iShares S&amp;P 500 ETF</t>
  </si>
  <si>
    <t>Tiger 미국나스닥 100</t>
  </si>
  <si>
    <t>Tiger 미국다우존스30</t>
  </si>
  <si>
    <t>NIKE</t>
  </si>
  <si>
    <t>Berkshire Hathaway Inc</t>
  </si>
  <si>
    <t>iShare PHLX Semiconductor</t>
  </si>
  <si>
    <t>아마존</t>
  </si>
  <si>
    <t>Tesla</t>
  </si>
  <si>
    <t>iShare Core S&amp;P 500</t>
  </si>
  <si>
    <t>City</t>
  </si>
  <si>
    <t>Vanguard S&amp;P 500</t>
  </si>
  <si>
    <t>Tiger 일본엔선물</t>
  </si>
  <si>
    <t>KOSEF 인도Nifty50(합성)</t>
  </si>
  <si>
    <t>SOL 미국배당다우존스</t>
  </si>
  <si>
    <t>2025.07.17 정리</t>
  </si>
  <si>
    <t>KODEX AI 전력핵심설비</t>
  </si>
  <si>
    <t>133*69076</t>
  </si>
  <si>
    <t>Roblox</t>
  </si>
  <si>
    <t>ACE 미국 S&amp;P 500</t>
  </si>
  <si>
    <t>평균단가오류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</si>
</sst>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[$$]#,##0.00"/>
    <numFmt numFmtId="166" formatCode="&quot;$&quot;#,##0.00"/>
    <numFmt numFmtId="167" formatCode="&quot;$&quot;#,##0.000"/>
    <numFmt numFmtId="168" formatCode="$#,##0.00"/>
    <numFmt numFmtId="169" formatCode="$0.00"/>
    <numFmt numFmtId="170" formatCode="[$₩]#,##0"/>
    <numFmt numFmtId="171" formatCode="M/d/yyyy"/>
    <numFmt numFmtId="172" formatCode="yyyy/mm/dd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  <font/>
    <font>
      <b/>
      <sz val="10.0"/>
      <color theme="1"/>
      <name val="Arial"/>
      <scheme val="minor"/>
    </font>
    <font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673AB7"/>
        <bgColor rgb="FF673AB7"/>
      </patternFill>
    </fill>
    <fill>
      <patternFill patternType="solid">
        <fgColor rgb="FFF3E5F5"/>
        <bgColor rgb="FFF3E5F5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readingOrder="0" shrinkToFit="0" vertical="center" wrapText="0"/>
    </xf>
    <xf quotePrefix="1" borderId="0" fillId="2" fontId="3" numFmtId="0" xfId="0" applyAlignment="1" applyFont="1">
      <alignment horizontal="center" readingOrder="0" shrinkToFit="0" vertical="center" wrapText="0"/>
    </xf>
    <xf borderId="0" fillId="2" fontId="2" numFmtId="49" xfId="0" applyAlignment="1" applyFont="1" applyNumberFormat="1">
      <alignment shrinkToFit="0" vertical="center" wrapText="1"/>
    </xf>
    <xf borderId="0" fillId="2" fontId="3" numFmtId="0" xfId="0" applyAlignment="1" applyFont="1">
      <alignment shrinkToFit="0" vertical="center" wrapText="0"/>
    </xf>
    <xf borderId="0" fillId="2" fontId="3" numFmtId="0" xfId="0" applyFont="1"/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49" xfId="0" applyAlignment="1" applyFont="1" applyNumberFormat="1">
      <alignment horizontal="center" readingOrder="0" shrinkToFit="0" vertical="center" wrapText="0"/>
    </xf>
    <xf borderId="0" fillId="3" fontId="2" numFmtId="49" xfId="0" applyAlignment="1" applyFont="1" applyNumberFormat="1">
      <alignment readingOrder="0" shrinkToFit="0" vertical="center" wrapText="1"/>
    </xf>
    <xf borderId="0" fillId="3" fontId="3" numFmtId="10" xfId="0" applyAlignment="1" applyFont="1" applyNumberFormat="1">
      <alignment readingOrder="0" shrinkToFit="0" vertical="center" wrapText="0"/>
    </xf>
    <xf borderId="0" fillId="3" fontId="3" numFmtId="0" xfId="0" applyAlignment="1" applyFont="1">
      <alignment readingOrder="0"/>
    </xf>
    <xf borderId="0" fillId="3" fontId="3" numFmtId="0" xfId="0" applyFont="1"/>
    <xf borderId="0" fillId="3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2" fontId="3" numFmtId="49" xfId="0" applyAlignment="1" applyFont="1" applyNumberFormat="1">
      <alignment horizontal="center" readingOrder="0" shrinkToFit="0" vertical="center" wrapText="0"/>
    </xf>
    <xf borderId="0" fillId="2" fontId="2" numFmtId="49" xfId="0" applyAlignment="1" applyFont="1" applyNumberFormat="1">
      <alignment readingOrder="0" shrinkToFit="0" vertical="center" wrapText="1"/>
    </xf>
    <xf borderId="0" fillId="2" fontId="3" numFmtId="0" xfId="0" applyAlignment="1" applyFont="1">
      <alignment readingOrder="0" shrinkToFit="0" vertical="center" wrapText="0"/>
    </xf>
    <xf borderId="0" fillId="2" fontId="4" numFmtId="0" xfId="0" applyAlignment="1" applyFont="1">
      <alignment vertical="bottom"/>
    </xf>
    <xf borderId="0" fillId="2" fontId="4" numFmtId="0" xfId="0" applyAlignment="1" applyFont="1">
      <alignment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center" wrapText="0"/>
    </xf>
    <xf borderId="0" fillId="2" fontId="4" numFmtId="49" xfId="0" applyAlignment="1" applyFont="1" applyNumberFormat="1">
      <alignment horizontal="center" shrinkToFit="0" vertical="center" wrapText="0"/>
    </xf>
    <xf borderId="0" fillId="2" fontId="2" numFmtId="49" xfId="0" applyAlignment="1" applyFont="1" applyNumberForma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center" wrapText="0"/>
    </xf>
    <xf borderId="0" fillId="0" fontId="2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2" numFmtId="0" xfId="0" applyAlignment="1" applyFont="1">
      <alignment horizontal="left" shrinkToFit="0" wrapText="1"/>
    </xf>
    <xf borderId="1" fillId="4" fontId="5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2" fillId="5" fontId="1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1" fillId="5" fontId="1" numFmtId="3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6" fillId="0" fontId="6" numFmtId="0" xfId="0" applyBorder="1" applyFont="1"/>
    <xf borderId="1" fillId="0" fontId="3" numFmtId="0" xfId="0" applyAlignment="1" applyBorder="1" applyFont="1">
      <alignment horizontal="center" vertical="center"/>
    </xf>
    <xf borderId="7" fillId="0" fontId="6" numFmtId="0" xfId="0" applyBorder="1" applyFont="1"/>
    <xf borderId="0" fillId="0" fontId="3" numFmtId="0" xfId="0" applyFont="1"/>
    <xf borderId="0" fillId="0" fontId="3" numFmtId="3" xfId="0" applyFont="1" applyNumberFormat="1"/>
    <xf borderId="0" fillId="0" fontId="3" numFmtId="164" xfId="0" applyFont="1" applyNumberFormat="1"/>
    <xf borderId="0" fillId="6" fontId="7" numFmtId="0" xfId="0" applyAlignment="1" applyFill="1" applyFont="1">
      <alignment horizontal="center" readingOrder="0" vertical="center"/>
    </xf>
    <xf borderId="0" fillId="7" fontId="8" numFmtId="0" xfId="0" applyAlignment="1" applyFill="1" applyFont="1">
      <alignment horizontal="center"/>
    </xf>
    <xf borderId="0" fillId="7" fontId="8" numFmtId="0" xfId="0" applyAlignment="1" applyFont="1">
      <alignment horizontal="center" vertical="bottom"/>
    </xf>
    <xf borderId="0" fillId="7" fontId="8" numFmtId="3" xfId="0" applyAlignment="1" applyFont="1" applyNumberFormat="1">
      <alignment horizontal="center" vertical="bottom"/>
    </xf>
    <xf borderId="0" fillId="7" fontId="2" numFmtId="3" xfId="0" applyAlignment="1" applyFont="1" applyNumberFormat="1">
      <alignment horizontal="center" vertical="center"/>
    </xf>
    <xf borderId="0" fillId="7" fontId="2" numFmtId="0" xfId="0" applyAlignment="1" applyFont="1">
      <alignment horizontal="center" readingOrder="0" vertical="center"/>
    </xf>
    <xf borderId="0" fillId="7" fontId="3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0" fontId="8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0" fillId="0" fontId="8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7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7" fontId="8" numFmtId="0" xfId="0" applyAlignment="1" applyFont="1">
      <alignment horizontal="center" readingOrder="0"/>
    </xf>
    <xf borderId="0" fillId="7" fontId="8" numFmtId="0" xfId="0" applyAlignment="1" applyFont="1">
      <alignment horizontal="center" readingOrder="0" vertical="bottom"/>
    </xf>
    <xf borderId="0" fillId="7" fontId="8" numFmtId="3" xfId="0" applyAlignment="1" applyFont="1" applyNumberFormat="1">
      <alignment horizontal="center" readingOrder="0" vertical="bottom"/>
    </xf>
    <xf borderId="0" fillId="7" fontId="2" numFmtId="3" xfId="0" applyAlignment="1" applyFont="1" applyNumberFormat="1">
      <alignment horizontal="center" readingOrder="0" vertical="center"/>
    </xf>
    <xf borderId="0" fillId="7" fontId="3" numFmtId="0" xfId="0" applyAlignment="1" applyFont="1">
      <alignment readingOrder="0"/>
    </xf>
    <xf borderId="0" fillId="7" fontId="4" numFmtId="0" xfId="0" applyAlignment="1" applyFont="1">
      <alignment horizontal="center" vertical="bottom"/>
    </xf>
    <xf borderId="0" fillId="7" fontId="4" numFmtId="165" xfId="0" applyAlignment="1" applyFont="1" applyNumberFormat="1">
      <alignment horizontal="center" vertical="bottom"/>
    </xf>
    <xf borderId="0" fillId="7" fontId="4" numFmtId="165" xfId="0" applyAlignment="1" applyFont="1" applyNumberFormat="1">
      <alignment horizontal="center"/>
    </xf>
    <xf borderId="0" fillId="7" fontId="4" numFmtId="0" xfId="0" applyAlignment="1" applyFont="1">
      <alignment horizontal="center"/>
    </xf>
    <xf borderId="0" fillId="7" fontId="4" numFmtId="0" xfId="0" applyAlignment="1" applyFont="1">
      <alignment vertical="bottom"/>
    </xf>
    <xf borderId="0" fillId="8" fontId="4" numFmtId="0" xfId="0" applyAlignment="1" applyFill="1" applyFont="1">
      <alignment horizontal="center" vertical="bottom"/>
    </xf>
    <xf borderId="0" fillId="8" fontId="4" numFmtId="165" xfId="0" applyAlignment="1" applyFont="1" applyNumberFormat="1">
      <alignment horizontal="center" vertical="bottom"/>
    </xf>
    <xf borderId="0" fillId="8" fontId="4" numFmtId="165" xfId="0" applyAlignment="1" applyFont="1" applyNumberFormat="1">
      <alignment horizontal="center"/>
    </xf>
    <xf borderId="0" fillId="8" fontId="4" numFmtId="0" xfId="0" applyAlignment="1" applyFont="1">
      <alignment horizontal="center"/>
    </xf>
    <xf borderId="0" fillId="8" fontId="4" numFmtId="0" xfId="0" applyAlignment="1" applyFont="1">
      <alignment vertical="bottom"/>
    </xf>
    <xf borderId="0" fillId="7" fontId="8" numFmtId="165" xfId="0" applyAlignment="1" applyFont="1" applyNumberFormat="1">
      <alignment horizontal="center" vertical="bottom"/>
    </xf>
    <xf borderId="0" fillId="7" fontId="2" numFmtId="165" xfId="0" applyAlignment="1" applyFont="1" applyNumberFormat="1">
      <alignment horizontal="center" vertical="center"/>
    </xf>
    <xf borderId="0" fillId="7" fontId="8" numFmtId="165" xfId="0" applyAlignment="1" applyFont="1" applyNumberFormat="1">
      <alignment horizontal="center" readingOrder="0" vertical="bottom"/>
    </xf>
    <xf borderId="0" fillId="7" fontId="3" numFmtId="0" xfId="0" applyAlignment="1" applyFont="1">
      <alignment horizontal="center" readingOrder="0" vertical="center"/>
    </xf>
    <xf borderId="0" fillId="7" fontId="4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7" fontId="2" numFmtId="166" xfId="0" applyAlignment="1" applyFont="1" applyNumberFormat="1">
      <alignment horizontal="center" readingOrder="0" vertical="center"/>
    </xf>
    <xf borderId="0" fillId="7" fontId="2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7" fontId="3" numFmtId="0" xfId="0" applyAlignment="1" applyFont="1">
      <alignment horizontal="center" readingOrder="0"/>
    </xf>
    <xf borderId="0" fillId="7" fontId="3" numFmtId="3" xfId="0" applyAlignment="1" applyFont="1" applyNumberFormat="1">
      <alignment horizontal="center" readingOrder="0"/>
    </xf>
    <xf borderId="0" fillId="7" fontId="3" numFmtId="166" xfId="0" applyAlignment="1" applyFont="1" applyNumberForma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9" fontId="2" numFmtId="0" xfId="0" applyAlignment="1" applyFont="1">
      <alignment horizontal="center" readingOrder="0" vertical="center"/>
    </xf>
    <xf borderId="0" fillId="9" fontId="2" numFmtId="166" xfId="0" applyAlignment="1" applyFont="1" applyNumberFormat="1">
      <alignment horizontal="center" readingOrder="0" vertical="center"/>
    </xf>
    <xf borderId="0" fillId="9" fontId="3" numFmtId="0" xfId="0" applyAlignment="1" applyFont="1">
      <alignment readingOrder="0"/>
    </xf>
    <xf borderId="0" fillId="9" fontId="3" numFmtId="0" xfId="0" applyFont="1"/>
    <xf borderId="0" fillId="7" fontId="2" numFmtId="167" xfId="0" applyAlignment="1" applyFont="1" applyNumberFormat="1">
      <alignment horizontal="center" readingOrder="0" vertical="center"/>
    </xf>
    <xf borderId="0" fillId="7" fontId="3" numFmtId="0" xfId="0" applyAlignment="1" applyFont="1">
      <alignment horizontal="center"/>
    </xf>
    <xf borderId="0" fillId="9" fontId="3" numFmtId="166" xfId="0" applyAlignment="1" applyFont="1" applyNumberFormat="1">
      <alignment horizontal="center" readingOrder="0"/>
    </xf>
    <xf borderId="0" fillId="7" fontId="2" numFmtId="3" xfId="0" applyAlignment="1" applyFont="1" applyNumberForma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0" fillId="7" fontId="2" numFmtId="168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0" xfId="0" applyFont="1" applyNumberFormat="1"/>
    <xf borderId="0" fillId="0" fontId="3" numFmtId="169" xfId="0" applyAlignment="1" applyFont="1" applyNumberFormat="1">
      <alignment readingOrder="0"/>
    </xf>
    <xf borderId="0" fillId="0" fontId="3" numFmtId="169" xfId="0" applyFont="1" applyNumberFormat="1"/>
    <xf borderId="0" fillId="0" fontId="3" numFmtId="166" xfId="0" applyAlignment="1" applyFont="1" applyNumberFormat="1">
      <alignment readingOrder="0"/>
    </xf>
    <xf borderId="0" fillId="0" fontId="3" numFmtId="3" xfId="0" applyFont="1" applyNumberFormat="1"/>
    <xf borderId="0" fillId="0" fontId="3" numFmtId="10" xfId="0" applyAlignment="1" applyFont="1" applyNumberFormat="1">
      <alignment readingOrder="0"/>
    </xf>
    <xf borderId="0" fillId="0" fontId="3" numFmtId="10" xfId="0" applyFont="1" applyNumberFormat="1"/>
    <xf borderId="0" fillId="0" fontId="3" numFmtId="170" xfId="0" applyFont="1" applyNumberFormat="1"/>
    <xf borderId="0" fillId="0" fontId="3" numFmtId="166" xfId="0" applyFont="1" applyNumberFormat="1"/>
    <xf borderId="0" fillId="10" fontId="1" numFmtId="0" xfId="0" applyAlignment="1" applyFill="1" applyFont="1">
      <alignment readingOrder="0"/>
    </xf>
    <xf borderId="0" fillId="0" fontId="3" numFmtId="171" xfId="0" applyFont="1" applyNumberFormat="1"/>
    <xf borderId="0" fillId="0" fontId="3" numFmtId="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8" xfId="0" applyFont="1" applyNumberFormat="1"/>
    <xf borderId="0" fillId="0" fontId="3" numFmtId="4" xfId="0" applyFont="1" applyNumberFormat="1"/>
    <xf borderId="0" fillId="0" fontId="3" numFmtId="2" xfId="0" applyFont="1" applyNumberFormat="1"/>
    <xf borderId="0" fillId="0" fontId="3" numFmtId="172" xfId="0" applyFont="1" applyNumberFormat="1"/>
    <xf borderId="0" fillId="6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vertical="bottom"/>
    </xf>
    <xf borderId="0" fillId="6" fontId="4" numFmtId="0" xfId="0" applyAlignment="1" applyFont="1">
      <alignment horizontal="center"/>
    </xf>
    <xf borderId="0" fillId="6" fontId="4" numFmtId="0" xfId="0" applyAlignment="1" applyFont="1">
      <alignment horizontal="center" vertical="bottom"/>
    </xf>
    <xf borderId="0" fillId="6" fontId="4" numFmtId="0" xfId="0" applyAlignment="1" applyFont="1">
      <alignment vertical="bottom"/>
    </xf>
    <xf borderId="0" fillId="6" fontId="4" numFmtId="3" xfId="0" applyAlignment="1" applyFont="1" applyNumberFormat="1">
      <alignment horizontal="center" vertical="bottom"/>
    </xf>
    <xf borderId="0" fillId="0" fontId="4" numFmtId="0" xfId="0" applyFont="1"/>
    <xf borderId="0" fillId="0" fontId="3" numFmtId="166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11" fontId="3" numFmtId="0" xfId="0" applyAlignment="1" applyFill="1" applyFont="1">
      <alignment readingOrder="0"/>
    </xf>
    <xf borderId="0" fillId="11" fontId="3" numFmtId="0" xfId="0" applyAlignment="1" applyFont="1">
      <alignment readingOrder="0"/>
    </xf>
    <xf borderId="0" fillId="11" fontId="3" numFmtId="2" xfId="0" applyAlignment="1" applyFont="1" applyNumberFormat="1">
      <alignment readingOrder="0"/>
    </xf>
    <xf borderId="0" fillId="11" fontId="3" numFmtId="166" xfId="0" applyAlignment="1" applyFont="1" applyNumberFormat="1">
      <alignment readingOrder="0"/>
    </xf>
    <xf borderId="0" fillId="11" fontId="3" numFmtId="169" xfId="0" applyFont="1" applyNumberFormat="1"/>
    <xf borderId="0" fillId="11" fontId="3" numFmtId="10" xfId="0" applyFont="1" applyNumberFormat="1"/>
    <xf borderId="0" fillId="11" fontId="3" numFmtId="169" xfId="0" applyAlignment="1" applyFont="1" applyNumberFormat="1">
      <alignment readingOrder="0"/>
    </xf>
    <xf borderId="0" fillId="11" fontId="3" numFmtId="3" xfId="0" applyFont="1" applyNumberFormat="1"/>
    <xf borderId="0" fillId="11" fontId="3" numFmtId="0" xfId="0" applyFont="1"/>
    <xf borderId="0" fillId="11" fontId="3" numFmtId="3" xfId="0" applyAlignment="1" applyFont="1" applyNumberFormat="1">
      <alignment readingOrder="0"/>
    </xf>
    <xf borderId="0" fillId="12" fontId="3" numFmtId="0" xfId="0" applyAlignment="1" applyFill="1" applyFont="1">
      <alignment readingOrder="0"/>
    </xf>
    <xf borderId="0" fillId="12" fontId="3" numFmtId="0" xfId="0" applyAlignment="1" applyFont="1">
      <alignment readingOrder="0"/>
    </xf>
    <xf borderId="0" fillId="12" fontId="3" numFmtId="2" xfId="0" applyAlignment="1" applyFont="1" applyNumberFormat="1">
      <alignment readingOrder="0"/>
    </xf>
    <xf borderId="0" fillId="12" fontId="3" numFmtId="3" xfId="0" applyAlignment="1" applyFont="1" applyNumberFormat="1">
      <alignment readingOrder="0"/>
    </xf>
    <xf borderId="0" fillId="12" fontId="3" numFmtId="3" xfId="0" applyFont="1" applyNumberFormat="1"/>
    <xf borderId="0" fillId="12" fontId="3" numFmtId="10" xfId="0" applyFont="1" applyNumberFormat="1"/>
    <xf borderId="0" fillId="12" fontId="3" numFmtId="169" xfId="0" applyAlignment="1" applyFont="1" applyNumberFormat="1">
      <alignment readingOrder="0"/>
    </xf>
    <xf borderId="0" fillId="12" fontId="3" numFmtId="169" xfId="0" applyFont="1" applyNumberFormat="1"/>
    <xf borderId="0" fillId="12" fontId="3" numFmtId="0" xfId="0" applyFont="1"/>
    <xf borderId="0" fillId="12" fontId="3" numFmtId="166" xfId="0" applyAlignment="1" applyFont="1" applyNumberFormat="1">
      <alignment readingOrder="0"/>
    </xf>
    <xf borderId="0" fillId="7" fontId="3" numFmtId="0" xfId="0" applyAlignment="1" applyFont="1">
      <alignment readingOrder="0"/>
    </xf>
    <xf borderId="0" fillId="7" fontId="3" numFmtId="2" xfId="0" applyAlignment="1" applyFont="1" applyNumberFormat="1">
      <alignment readingOrder="0"/>
    </xf>
    <xf borderId="0" fillId="7" fontId="3" numFmtId="3" xfId="0" applyAlignment="1" applyFont="1" applyNumberFormat="1">
      <alignment readingOrder="0"/>
    </xf>
    <xf borderId="0" fillId="7" fontId="3" numFmtId="3" xfId="0" applyFont="1" applyNumberFormat="1"/>
    <xf borderId="0" fillId="7" fontId="3" numFmtId="10" xfId="0" applyFont="1" applyNumberFormat="1"/>
    <xf borderId="0" fillId="7" fontId="3" numFmtId="169" xfId="0" applyAlignment="1" applyFont="1" applyNumberFormat="1">
      <alignment readingOrder="0"/>
    </xf>
    <xf borderId="0" fillId="7" fontId="3" numFmtId="169" xfId="0" applyFont="1" applyNumberFormat="1"/>
    <xf borderId="0" fillId="7" fontId="3" numFmtId="166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13" fontId="3" numFmtId="0" xfId="0" applyAlignment="1" applyFont="1">
      <alignment readingOrder="0"/>
    </xf>
    <xf borderId="0" fillId="13" fontId="3" numFmtId="2" xfId="0" applyAlignment="1" applyFont="1" applyNumberFormat="1">
      <alignment readingOrder="0"/>
    </xf>
    <xf borderId="0" fillId="13" fontId="3" numFmtId="3" xfId="0" applyAlignment="1" applyFont="1" applyNumberFormat="1">
      <alignment readingOrder="0"/>
    </xf>
    <xf borderId="0" fillId="13" fontId="3" numFmtId="3" xfId="0" applyFont="1" applyNumberFormat="1"/>
    <xf borderId="0" fillId="13" fontId="3" numFmtId="10" xfId="0" applyFont="1" applyNumberFormat="1"/>
    <xf borderId="0" fillId="13" fontId="3" numFmtId="169" xfId="0" applyAlignment="1" applyFont="1" applyNumberFormat="1">
      <alignment readingOrder="0"/>
    </xf>
    <xf borderId="0" fillId="13" fontId="3" numFmtId="169" xfId="0" applyFont="1" applyNumberFormat="1"/>
    <xf borderId="0" fillId="13" fontId="3" numFmtId="0" xfId="0" applyFont="1"/>
    <xf borderId="0" fillId="9" fontId="3" numFmtId="0" xfId="0" applyAlignment="1" applyFont="1">
      <alignment readingOrder="0"/>
    </xf>
    <xf borderId="0" fillId="9" fontId="3" numFmtId="2" xfId="0" applyAlignment="1" applyFont="1" applyNumberFormat="1">
      <alignment readingOrder="0"/>
    </xf>
    <xf borderId="0" fillId="9" fontId="3" numFmtId="3" xfId="0" applyAlignment="1" applyFont="1" applyNumberFormat="1">
      <alignment readingOrder="0"/>
    </xf>
    <xf borderId="0" fillId="9" fontId="3" numFmtId="3" xfId="0" applyFont="1" applyNumberFormat="1"/>
    <xf borderId="0" fillId="9" fontId="3" numFmtId="10" xfId="0" applyFont="1" applyNumberFormat="1"/>
    <xf borderId="0" fillId="9" fontId="3" numFmtId="169" xfId="0" applyAlignment="1" applyFont="1" applyNumberFormat="1">
      <alignment readingOrder="0"/>
    </xf>
    <xf borderId="0" fillId="9" fontId="3" numFmtId="169" xfId="0" applyFont="1" applyNumberFormat="1"/>
    <xf borderId="0" fillId="13" fontId="3" numFmtId="166" xfId="0" applyAlignment="1" applyFont="1" applyNumberFormat="1">
      <alignment readingOrder="0"/>
    </xf>
    <xf borderId="0" fillId="9" fontId="3" numFmtId="166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B71C1C"/>
      </font>
      <fill>
        <patternFill patternType="solid">
          <fgColor rgb="FFFFCDD2"/>
          <bgColor rgb="FFFFCDD2"/>
        </patternFill>
      </fill>
      <border/>
    </dxf>
  </dxfs>
  <tableStyles count="1">
    <tableStyle count="4" pivot="0" name="종목 관리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주식별 비중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'IRP DashBoard'!$M$2:$M$9</c:f>
            </c:strRef>
          </c:cat>
          <c:val>
            <c:numRef>
              <c:f>'IRP DashBoard'!$N$2:$N$9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주식별 비중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'연금저축DashBoard'!$M$2:$M$14</c:f>
            </c:strRef>
          </c:cat>
          <c:val>
            <c:numRef>
              <c:f>'연금저축DashBoard'!$N$2:$N$14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주식별 비중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'연금저축2 DashBoard'!$M$2:$M$7</c:f>
            </c:strRef>
          </c:cat>
          <c:val>
            <c:numRef>
              <c:f>'연금저축2 DashBoard'!$N$2:$N$7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주식별 비중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'ISA DashBoard'!$B$5:$B$21</c:f>
            </c:strRef>
          </c:cat>
          <c:val>
            <c:numRef>
              <c:f>'ISA DashBoard'!$L$5:$L$17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ocumenttasks/documenttask1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200025</xdr:rowOff>
    </xdr:from>
    <xdr:ext cx="8629650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123825</xdr:colOff>
      <xdr:row>0</xdr:row>
      <xdr:rowOff>0</xdr:rowOff>
    </xdr:from>
    <xdr:ext cx="419100" cy="295275"/>
    <xdr:sp>
      <xdr:nvSpPr>
        <xdr:cNvPr id="3" name="Shape 3"/>
        <xdr:cNvSpPr/>
      </xdr:nvSpPr>
      <xdr:spPr>
        <a:xfrm>
          <a:off x="1157550" y="574675"/>
          <a:ext cx="736200" cy="5214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561975" cy="257175"/>
    <xdr:grpSp>
      <xdr:nvGrpSpPr>
        <xdr:cNvPr id="2" name="Shape 2" title="Drawing"/>
        <xdr:cNvGrpSpPr/>
      </xdr:nvGrpSpPr>
      <xdr:grpSpPr>
        <a:xfrm>
          <a:off x="1811975" y="1014375"/>
          <a:ext cx="1053300" cy="419400"/>
          <a:chOff x="1811975" y="1014375"/>
          <a:chExt cx="1053300" cy="419400"/>
        </a:xfrm>
      </xdr:grpSpPr>
      <xdr:sp>
        <xdr:nvSpPr>
          <xdr:cNvPr id="4" name="Shape 4"/>
          <xdr:cNvSpPr/>
        </xdr:nvSpPr>
        <xdr:spPr>
          <a:xfrm>
            <a:off x="1811975" y="1014375"/>
            <a:ext cx="1053300" cy="419400"/>
          </a:xfrm>
          <a:prstGeom prst="bevel">
            <a:avLst>
              <a:gd fmla="val 12500" name="adj"/>
            </a:avLst>
          </a:prstGeom>
          <a:gradFill>
            <a:gsLst>
              <a:gs pos="0">
                <a:srgbClr val="FDECDB"/>
              </a:gs>
              <a:gs pos="100000">
                <a:srgbClr val="F0AA63"/>
              </a:gs>
            </a:gsLst>
            <a:lin ang="5400012" scaled="0"/>
          </a:gra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924475" y="1014375"/>
            <a:ext cx="828300" cy="225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 Update</a:t>
            </a:r>
            <a:endParaRPr sz="1400"/>
          </a:p>
        </xdr:txBody>
      </xdr: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904875" cy="314325"/>
    <xdr:grpSp>
      <xdr:nvGrpSpPr>
        <xdr:cNvPr id="2" name="Shape 2" title="Drawing"/>
        <xdr:cNvGrpSpPr/>
      </xdr:nvGrpSpPr>
      <xdr:grpSpPr>
        <a:xfrm>
          <a:off x="3092625" y="943850"/>
          <a:ext cx="1345325" cy="451800"/>
          <a:chOff x="3092625" y="943850"/>
          <a:chExt cx="1345325" cy="451800"/>
        </a:xfrm>
      </xdr:grpSpPr>
      <xdr:sp>
        <xdr:nvSpPr>
          <xdr:cNvPr id="6" name="Shape 6"/>
          <xdr:cNvSpPr/>
        </xdr:nvSpPr>
        <xdr:spPr>
          <a:xfrm>
            <a:off x="3092625" y="943850"/>
            <a:ext cx="1044300" cy="451800"/>
          </a:xfrm>
          <a:prstGeom prst="bevel">
            <a:avLst>
              <a:gd fmla="val 12500" name="adj"/>
            </a:avLst>
          </a:prstGeom>
          <a:gradFill>
            <a:gsLst>
              <a:gs pos="0">
                <a:srgbClr val="FDECDB"/>
              </a:gs>
              <a:gs pos="100000">
                <a:srgbClr val="F0AA63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 txBox="1"/>
        </xdr:nvSpPr>
        <xdr:spPr>
          <a:xfrm>
            <a:off x="3293450" y="943850"/>
            <a:ext cx="1144500" cy="451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update</a:t>
            </a:r>
            <a:endParaRPr sz="1400"/>
          </a:p>
        </xdr:txBody>
      </xdr: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ee Jin JU" id="{9ad43eb0-ac76-4557-84b1-5284910b72df}" providerId="google-sheets"/>
</x18tc:personList>
</file>

<file path=xl/tables/table1.xml><?xml version="1.0" encoding="utf-8"?>
<table xmlns="http://schemas.openxmlformats.org/spreadsheetml/2006/main" ref="A1:F38" displayName="Table1" name="Table1" id="1">
  <tableColumns count="6">
    <tableColumn name="인덱스" id="1"/>
    <tableColumn name="종목명" id="2"/>
    <tableColumn name="해외/국내" id="3"/>
    <tableColumn name="Ticker" id="4"/>
    <tableColumn name="자산군" id="5"/>
    <tableColumn name="분류" id="6"/>
  </tableColumns>
  <tableStyleInfo name="종목 관리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12-17T05:03:12.00" personId="{9ad43eb0-ac76-4557-84b1-5284910b72df}" id="{faf80b15-7d3d-49b1-bd2b-56ffe5fb9557}" done="0">
    <x18tc:text xml:space="preserve">단가가 틀림</x18tc:text>
  </x18tc:threadedComment>
  <x18tc:threadedComment ref="A1" dT="2024-12-17T04:56:59.00" personId="{9ad43eb0-ac76-4557-84b1-5284910b72df}" id="{04a1e6b1-c874-413b-b475-20150fa6d281}" done="0">
    <x18tc:text xml:space="preserve">단가틀림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9.75"/>
    <col customWidth="1" min="3" max="3" width="15.5"/>
    <col customWidth="1" min="4" max="4" width="10.25"/>
    <col customWidth="1" min="5" max="5" width="13.38"/>
    <col customWidth="1" min="6" max="6" width="12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J1" s="5">
        <f>IFERROR(__xludf.DUMMYFUNCTION("GOOGLEFINANCE(""CURRENCY:USDKRW"")"),1452.4850000000001)</f>
        <v>1452.485</v>
      </c>
    </row>
    <row r="2" ht="22.5" customHeight="1">
      <c r="A2" s="6">
        <v>1.0</v>
      </c>
      <c r="B2" s="7" t="s">
        <v>6</v>
      </c>
      <c r="C2" s="8" t="s">
        <v>7</v>
      </c>
      <c r="D2" s="9" t="s">
        <v>8</v>
      </c>
      <c r="E2" s="10" t="s">
        <v>9</v>
      </c>
      <c r="F2" s="11" t="s">
        <v>10</v>
      </c>
    </row>
    <row r="3" ht="22.5" customHeight="1">
      <c r="A3" s="6">
        <v>5.0</v>
      </c>
      <c r="B3" s="7" t="s">
        <v>11</v>
      </c>
      <c r="C3" s="8" t="s">
        <v>12</v>
      </c>
      <c r="D3" s="9" t="s">
        <v>13</v>
      </c>
      <c r="E3" s="10" t="s">
        <v>9</v>
      </c>
      <c r="F3" s="11" t="s">
        <v>10</v>
      </c>
    </row>
    <row r="4" ht="22.5" customHeight="1">
      <c r="A4" s="6">
        <v>18.0</v>
      </c>
      <c r="B4" s="7" t="s">
        <v>14</v>
      </c>
      <c r="C4" s="8" t="s">
        <v>7</v>
      </c>
      <c r="D4" s="9" t="s">
        <v>15</v>
      </c>
      <c r="E4" s="12" t="s">
        <v>16</v>
      </c>
    </row>
    <row r="5" ht="22.5" customHeight="1">
      <c r="A5" s="6">
        <v>27.0</v>
      </c>
      <c r="B5" s="7" t="s">
        <v>17</v>
      </c>
      <c r="C5" s="8" t="s">
        <v>7</v>
      </c>
      <c r="D5" s="9" t="s">
        <v>18</v>
      </c>
      <c r="E5" s="10" t="s">
        <v>9</v>
      </c>
      <c r="F5" s="11" t="s">
        <v>19</v>
      </c>
    </row>
    <row r="6" ht="22.5" customHeight="1">
      <c r="A6" s="6">
        <v>29.0</v>
      </c>
      <c r="B6" s="7" t="s">
        <v>20</v>
      </c>
      <c r="C6" s="8" t="s">
        <v>7</v>
      </c>
      <c r="D6" s="9" t="s">
        <v>21</v>
      </c>
      <c r="E6" s="10" t="s">
        <v>9</v>
      </c>
      <c r="F6" s="11" t="s">
        <v>22</v>
      </c>
    </row>
    <row r="7" ht="22.5" customHeight="1">
      <c r="A7" s="6">
        <v>31.0</v>
      </c>
      <c r="B7" s="7" t="s">
        <v>23</v>
      </c>
      <c r="C7" s="8" t="s">
        <v>7</v>
      </c>
      <c r="D7" s="9" t="s">
        <v>24</v>
      </c>
      <c r="E7" s="10" t="s">
        <v>9</v>
      </c>
      <c r="F7" s="11" t="s">
        <v>25</v>
      </c>
    </row>
    <row r="8" ht="22.5" customHeight="1">
      <c r="A8" s="6">
        <v>33.0</v>
      </c>
      <c r="B8" s="7" t="s">
        <v>26</v>
      </c>
      <c r="C8" s="8" t="s">
        <v>7</v>
      </c>
      <c r="D8" s="9" t="s">
        <v>27</v>
      </c>
      <c r="E8" s="12" t="s">
        <v>28</v>
      </c>
    </row>
    <row r="9" ht="22.5" customHeight="1">
      <c r="A9" s="6">
        <v>35.0</v>
      </c>
      <c r="B9" s="7" t="s">
        <v>29</v>
      </c>
      <c r="C9" s="8" t="s">
        <v>7</v>
      </c>
      <c r="D9" s="9" t="s">
        <v>30</v>
      </c>
      <c r="E9" s="12" t="s">
        <v>31</v>
      </c>
    </row>
    <row r="10" ht="22.5" customHeight="1">
      <c r="A10" s="6">
        <v>48.0</v>
      </c>
      <c r="B10" s="7" t="s">
        <v>32</v>
      </c>
      <c r="C10" s="8" t="s">
        <v>7</v>
      </c>
      <c r="D10" s="9" t="s">
        <v>33</v>
      </c>
      <c r="E10" s="10" t="s">
        <v>9</v>
      </c>
      <c r="F10" s="11" t="s">
        <v>19</v>
      </c>
    </row>
    <row r="11" ht="22.5" customHeight="1">
      <c r="A11" s="6">
        <v>49.0</v>
      </c>
      <c r="B11" s="7" t="s">
        <v>34</v>
      </c>
      <c r="C11" s="8" t="s">
        <v>7</v>
      </c>
      <c r="D11" s="9" t="s">
        <v>35</v>
      </c>
      <c r="E11" s="12" t="s">
        <v>36</v>
      </c>
    </row>
    <row r="12" ht="22.5" customHeight="1">
      <c r="A12" s="13">
        <v>50.0</v>
      </c>
      <c r="B12" s="14" t="s">
        <v>37</v>
      </c>
      <c r="C12" s="15" t="s">
        <v>7</v>
      </c>
      <c r="D12" s="16" t="s">
        <v>38</v>
      </c>
      <c r="E12" s="17"/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13">
        <v>50.0</v>
      </c>
      <c r="B13" s="14" t="s">
        <v>39</v>
      </c>
      <c r="C13" s="15" t="s">
        <v>7</v>
      </c>
      <c r="D13" s="16" t="s">
        <v>40</v>
      </c>
      <c r="E13" s="17"/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6">
        <v>53.0</v>
      </c>
      <c r="B14" s="7" t="s">
        <v>41</v>
      </c>
      <c r="C14" s="8" t="s">
        <v>12</v>
      </c>
      <c r="D14" s="9" t="s">
        <v>42</v>
      </c>
      <c r="E14" s="20"/>
    </row>
    <row r="15" ht="22.5" customHeight="1">
      <c r="A15" s="6">
        <v>61.0</v>
      </c>
      <c r="B15" s="7" t="s">
        <v>43</v>
      </c>
      <c r="C15" s="8" t="s">
        <v>12</v>
      </c>
      <c r="D15" s="9" t="s">
        <v>44</v>
      </c>
      <c r="E15" s="21" t="s">
        <v>45</v>
      </c>
    </row>
    <row r="16" ht="22.5" customHeight="1">
      <c r="A16" s="6">
        <v>58.0</v>
      </c>
      <c r="B16" s="7" t="s">
        <v>46</v>
      </c>
      <c r="C16" s="8" t="s">
        <v>12</v>
      </c>
      <c r="D16" s="9" t="s">
        <v>47</v>
      </c>
      <c r="E16" s="10" t="s">
        <v>9</v>
      </c>
      <c r="F16" s="11" t="s">
        <v>19</v>
      </c>
    </row>
    <row r="17" ht="22.5" customHeight="1">
      <c r="A17" s="6">
        <v>69.0</v>
      </c>
      <c r="B17" s="7" t="s">
        <v>48</v>
      </c>
      <c r="C17" s="8" t="s">
        <v>7</v>
      </c>
      <c r="D17" s="9" t="s">
        <v>49</v>
      </c>
      <c r="E17" s="10"/>
    </row>
    <row r="18" ht="22.5" customHeight="1">
      <c r="A18" s="6">
        <v>64.0</v>
      </c>
      <c r="B18" s="7" t="s">
        <v>50</v>
      </c>
      <c r="C18" s="8" t="s">
        <v>12</v>
      </c>
      <c r="D18" s="9" t="s">
        <v>51</v>
      </c>
      <c r="E18" s="10" t="s">
        <v>9</v>
      </c>
      <c r="F18" s="11" t="s">
        <v>52</v>
      </c>
    </row>
    <row r="19" ht="22.5" customHeight="1">
      <c r="A19" s="6">
        <v>66.0</v>
      </c>
      <c r="B19" s="7" t="s">
        <v>53</v>
      </c>
      <c r="C19" s="8" t="s">
        <v>7</v>
      </c>
      <c r="D19" s="9" t="s">
        <v>54</v>
      </c>
      <c r="E19" s="20"/>
    </row>
    <row r="20" ht="22.5" customHeight="1">
      <c r="A20" s="22">
        <v>68.0</v>
      </c>
      <c r="B20" s="23" t="s">
        <v>55</v>
      </c>
      <c r="C20" s="8" t="s">
        <v>12</v>
      </c>
      <c r="D20" s="24" t="s">
        <v>56</v>
      </c>
      <c r="E20" s="25"/>
      <c r="F20" s="26"/>
      <c r="G20" s="27"/>
      <c r="H20" s="27"/>
      <c r="I20" s="27"/>
      <c r="J20" s="27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22.5" customHeight="1">
      <c r="A21" s="29"/>
      <c r="B21" s="23" t="s">
        <v>57</v>
      </c>
      <c r="C21" s="8" t="s">
        <v>7</v>
      </c>
      <c r="D21" s="24" t="s">
        <v>58</v>
      </c>
      <c r="E21" s="25"/>
      <c r="F21" s="26"/>
      <c r="G21" s="27"/>
      <c r="H21" s="27"/>
      <c r="I21" s="27"/>
      <c r="J21" s="27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22.5" customHeight="1">
      <c r="A22" s="30"/>
      <c r="B22" s="7" t="s">
        <v>59</v>
      </c>
      <c r="C22" s="8" t="s">
        <v>12</v>
      </c>
      <c r="D22" s="9" t="s">
        <v>59</v>
      </c>
      <c r="E22" s="10" t="s">
        <v>9</v>
      </c>
      <c r="F22" s="11" t="s">
        <v>25</v>
      </c>
    </row>
    <row r="23" ht="22.5" customHeight="1">
      <c r="A23" s="30"/>
      <c r="B23" s="7" t="s">
        <v>60</v>
      </c>
      <c r="C23" s="8" t="s">
        <v>7</v>
      </c>
      <c r="D23" s="9" t="s">
        <v>61</v>
      </c>
      <c r="E23" s="31" t="s">
        <v>62</v>
      </c>
    </row>
    <row r="24" ht="22.5" customHeight="1">
      <c r="A24" s="6">
        <v>16.0</v>
      </c>
      <c r="B24" s="7" t="s">
        <v>63</v>
      </c>
      <c r="C24" s="8" t="s">
        <v>12</v>
      </c>
      <c r="D24" s="9" t="s">
        <v>64</v>
      </c>
      <c r="E24" s="31"/>
    </row>
    <row r="25" ht="22.5" customHeight="1">
      <c r="A25" s="6">
        <v>36.0</v>
      </c>
      <c r="B25" s="7" t="s">
        <v>65</v>
      </c>
      <c r="C25" s="8" t="s">
        <v>7</v>
      </c>
      <c r="D25" s="9" t="s">
        <v>66</v>
      </c>
      <c r="E25" s="20"/>
    </row>
    <row r="26" ht="22.5" customHeight="1">
      <c r="A26" s="6">
        <v>65.0</v>
      </c>
      <c r="B26" s="7" t="s">
        <v>67</v>
      </c>
      <c r="C26" s="8" t="s">
        <v>12</v>
      </c>
      <c r="D26" s="9" t="s">
        <v>68</v>
      </c>
      <c r="E26" s="20"/>
    </row>
    <row r="27" ht="22.5" customHeight="1">
      <c r="A27" s="13">
        <v>10.0</v>
      </c>
      <c r="B27" s="14" t="s">
        <v>69</v>
      </c>
      <c r="C27" s="15" t="s">
        <v>12</v>
      </c>
      <c r="D27" s="32" t="s">
        <v>70</v>
      </c>
      <c r="E27" s="17"/>
      <c r="F27" s="18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13">
        <v>19.0</v>
      </c>
      <c r="B28" s="14" t="s">
        <v>71</v>
      </c>
      <c r="C28" s="15" t="s">
        <v>12</v>
      </c>
      <c r="D28" s="32" t="s">
        <v>72</v>
      </c>
      <c r="E28" s="17"/>
      <c r="F28" s="18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6">
        <v>55.0</v>
      </c>
      <c r="B29" s="7" t="s">
        <v>73</v>
      </c>
      <c r="C29" s="8" t="s">
        <v>12</v>
      </c>
      <c r="D29" s="9" t="s">
        <v>74</v>
      </c>
      <c r="E29" s="10" t="s">
        <v>9</v>
      </c>
      <c r="F29" s="11" t="s">
        <v>10</v>
      </c>
    </row>
    <row r="30" ht="22.5" customHeight="1">
      <c r="A30" s="6">
        <v>70.0</v>
      </c>
      <c r="B30" s="7" t="s">
        <v>75</v>
      </c>
      <c r="C30" s="8" t="s">
        <v>7</v>
      </c>
      <c r="D30" s="9" t="s">
        <v>76</v>
      </c>
      <c r="E30" s="20"/>
    </row>
    <row r="31" ht="22.5" customHeight="1">
      <c r="A31" s="6">
        <v>71.0</v>
      </c>
      <c r="B31" s="7" t="s">
        <v>77</v>
      </c>
      <c r="C31" s="8" t="s">
        <v>7</v>
      </c>
      <c r="D31" s="9" t="s">
        <v>78</v>
      </c>
      <c r="E31" s="21" t="s">
        <v>45</v>
      </c>
    </row>
    <row r="32" ht="22.5" customHeight="1">
      <c r="A32" s="13">
        <v>2.0</v>
      </c>
      <c r="B32" s="14" t="s">
        <v>79</v>
      </c>
      <c r="C32" s="15" t="s">
        <v>12</v>
      </c>
      <c r="D32" s="32" t="s">
        <v>80</v>
      </c>
      <c r="E32" s="33"/>
      <c r="F32" s="34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13">
        <v>57.0</v>
      </c>
      <c r="B33" s="14" t="s">
        <v>81</v>
      </c>
      <c r="C33" s="15" t="s">
        <v>7</v>
      </c>
      <c r="D33" s="32" t="s">
        <v>82</v>
      </c>
      <c r="E33" s="17"/>
      <c r="F33" s="18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13">
        <v>50.0</v>
      </c>
      <c r="B34" s="14" t="s">
        <v>83</v>
      </c>
      <c r="C34" s="15" t="s">
        <v>7</v>
      </c>
      <c r="D34" s="16" t="s">
        <v>84</v>
      </c>
      <c r="E34" s="17"/>
      <c r="F34" s="18"/>
    </row>
    <row r="35" ht="22.5" customHeight="1">
      <c r="A35" s="6">
        <v>67.0</v>
      </c>
      <c r="B35" s="7" t="s">
        <v>85</v>
      </c>
      <c r="C35" s="8" t="s">
        <v>12</v>
      </c>
      <c r="D35" s="9" t="s">
        <v>86</v>
      </c>
      <c r="E35" s="20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ht="22.5" customHeight="1">
      <c r="A36" s="13">
        <v>24.0</v>
      </c>
      <c r="B36" s="14" t="s">
        <v>87</v>
      </c>
      <c r="C36" s="15" t="s">
        <v>12</v>
      </c>
      <c r="D36" s="32" t="s">
        <v>88</v>
      </c>
      <c r="E36" s="17"/>
      <c r="F36" s="18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ht="22.5" customHeight="1">
      <c r="A37" s="36">
        <v>39.0</v>
      </c>
      <c r="B37" s="37" t="s">
        <v>89</v>
      </c>
      <c r="C37" s="38" t="s">
        <v>7</v>
      </c>
      <c r="D37" s="39" t="s">
        <v>82</v>
      </c>
      <c r="E37" s="40"/>
      <c r="F37" s="41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ht="22.5" customHeight="1">
      <c r="A38" s="36">
        <v>41.0</v>
      </c>
      <c r="B38" s="42" t="s">
        <v>90</v>
      </c>
      <c r="C38" s="43" t="s">
        <v>7</v>
      </c>
      <c r="D38" s="39" t="s">
        <v>91</v>
      </c>
      <c r="E38" s="40"/>
      <c r="F38" s="41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>
      <c r="E39" s="44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>
      <c r="E40" s="44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>
      <c r="E41" s="44"/>
    </row>
    <row r="42">
      <c r="E42" s="44"/>
    </row>
    <row r="43">
      <c r="E43" s="44"/>
    </row>
    <row r="44">
      <c r="E44" s="44"/>
    </row>
    <row r="45">
      <c r="E45" s="44"/>
    </row>
    <row r="46">
      <c r="E46" s="44"/>
    </row>
    <row r="47">
      <c r="E47" s="44"/>
    </row>
    <row r="48">
      <c r="E48" s="44"/>
    </row>
    <row r="49">
      <c r="E49" s="44"/>
    </row>
    <row r="50">
      <c r="E50" s="44"/>
    </row>
    <row r="51">
      <c r="E51" s="44"/>
    </row>
    <row r="52">
      <c r="E52" s="44"/>
    </row>
    <row r="53">
      <c r="E53" s="44"/>
    </row>
    <row r="54">
      <c r="E54" s="44"/>
    </row>
    <row r="55">
      <c r="E55" s="44"/>
    </row>
    <row r="56">
      <c r="A56" s="46"/>
      <c r="B56" s="46"/>
      <c r="C56" s="46"/>
      <c r="D56" s="47"/>
      <c r="E56" s="48"/>
    </row>
    <row r="57">
      <c r="A57" s="46"/>
      <c r="B57" s="46"/>
      <c r="C57" s="46"/>
      <c r="D57" s="47"/>
      <c r="E57" s="48"/>
    </row>
    <row r="58">
      <c r="A58" s="46"/>
      <c r="B58" s="46"/>
      <c r="C58" s="46"/>
      <c r="D58" s="47"/>
      <c r="E58" s="48"/>
    </row>
    <row r="59">
      <c r="A59" s="46"/>
      <c r="B59" s="46"/>
      <c r="C59" s="46"/>
      <c r="D59" s="47"/>
      <c r="E59" s="48"/>
    </row>
    <row r="60">
      <c r="A60" s="46"/>
      <c r="B60" s="46"/>
      <c r="C60" s="46"/>
      <c r="D60" s="47"/>
      <c r="E60" s="48"/>
    </row>
    <row r="61">
      <c r="A61" s="46"/>
      <c r="B61" s="46"/>
      <c r="C61" s="46"/>
      <c r="D61" s="47"/>
      <c r="E61" s="48"/>
    </row>
    <row r="62">
      <c r="A62" s="46"/>
      <c r="B62" s="46"/>
      <c r="C62" s="46"/>
      <c r="D62" s="47"/>
      <c r="E62" s="48"/>
    </row>
    <row r="63">
      <c r="A63" s="46"/>
      <c r="B63" s="46"/>
      <c r="C63" s="46"/>
      <c r="D63" s="47"/>
      <c r="E63" s="48"/>
    </row>
    <row r="64">
      <c r="A64" s="46"/>
      <c r="B64" s="46"/>
      <c r="C64" s="46"/>
      <c r="D64" s="47"/>
      <c r="E64" s="48"/>
    </row>
    <row r="65">
      <c r="A65" s="46"/>
      <c r="B65" s="46"/>
      <c r="C65" s="46"/>
      <c r="D65" s="47"/>
      <c r="E65" s="48"/>
    </row>
    <row r="66">
      <c r="A66" s="46"/>
      <c r="B66" s="46"/>
      <c r="C66" s="46"/>
      <c r="D66" s="47"/>
      <c r="E66" s="48"/>
    </row>
    <row r="67">
      <c r="A67" s="46"/>
      <c r="B67" s="46"/>
      <c r="C67" s="46"/>
      <c r="D67" s="47"/>
      <c r="E67" s="48"/>
    </row>
    <row r="68">
      <c r="A68" s="46"/>
      <c r="B68" s="46"/>
      <c r="C68" s="46"/>
      <c r="D68" s="47"/>
      <c r="E68" s="48"/>
    </row>
    <row r="69">
      <c r="A69" s="46"/>
      <c r="B69" s="46"/>
      <c r="C69" s="46"/>
      <c r="D69" s="47"/>
      <c r="E69" s="48"/>
    </row>
    <row r="70">
      <c r="A70" s="46"/>
      <c r="B70" s="46"/>
      <c r="C70" s="46"/>
      <c r="D70" s="47"/>
      <c r="E70" s="48"/>
    </row>
    <row r="71">
      <c r="A71" s="46"/>
      <c r="B71" s="46"/>
      <c r="C71" s="46"/>
      <c r="D71" s="47"/>
      <c r="E71" s="48"/>
    </row>
    <row r="72">
      <c r="A72" s="46"/>
      <c r="B72" s="46"/>
      <c r="C72" s="46"/>
      <c r="D72" s="47"/>
      <c r="E72" s="48"/>
    </row>
    <row r="73">
      <c r="A73" s="46"/>
      <c r="B73" s="46"/>
      <c r="C73" s="46"/>
      <c r="D73" s="47"/>
      <c r="E73" s="48"/>
    </row>
    <row r="74">
      <c r="A74" s="46"/>
      <c r="B74" s="46"/>
      <c r="C74" s="46"/>
      <c r="D74" s="47"/>
      <c r="E74" s="48"/>
    </row>
    <row r="75">
      <c r="A75" s="46"/>
      <c r="B75" s="46"/>
      <c r="C75" s="46"/>
      <c r="D75" s="47"/>
      <c r="E75" s="48"/>
    </row>
    <row r="76">
      <c r="A76" s="46"/>
      <c r="B76" s="46"/>
      <c r="C76" s="46"/>
      <c r="D76" s="47"/>
      <c r="E76" s="48"/>
    </row>
    <row r="77">
      <c r="A77" s="46"/>
      <c r="B77" s="46"/>
      <c r="C77" s="46"/>
      <c r="D77" s="47"/>
      <c r="E77" s="48"/>
    </row>
    <row r="78">
      <c r="A78" s="46"/>
      <c r="B78" s="46"/>
      <c r="C78" s="46"/>
      <c r="D78" s="47"/>
      <c r="E78" s="48"/>
    </row>
    <row r="79">
      <c r="A79" s="46"/>
      <c r="B79" s="46"/>
      <c r="C79" s="46"/>
      <c r="D79" s="47"/>
      <c r="E79" s="48"/>
    </row>
    <row r="80">
      <c r="A80" s="46"/>
      <c r="B80" s="46"/>
      <c r="C80" s="46"/>
      <c r="D80" s="47"/>
      <c r="E80" s="48"/>
    </row>
    <row r="81">
      <c r="A81" s="46"/>
      <c r="B81" s="46"/>
      <c r="C81" s="46"/>
      <c r="D81" s="47"/>
      <c r="E81" s="48"/>
    </row>
    <row r="82">
      <c r="A82" s="46"/>
      <c r="B82" s="46"/>
      <c r="C82" s="46"/>
      <c r="D82" s="47"/>
      <c r="E82" s="48"/>
    </row>
    <row r="83">
      <c r="A83" s="46"/>
      <c r="B83" s="46"/>
      <c r="C83" s="46"/>
      <c r="D83" s="47"/>
      <c r="E83" s="48"/>
    </row>
    <row r="84">
      <c r="A84" s="46"/>
      <c r="B84" s="46"/>
      <c r="C84" s="46"/>
      <c r="D84" s="47"/>
      <c r="E84" s="48"/>
    </row>
    <row r="85">
      <c r="A85" s="46"/>
      <c r="B85" s="46"/>
      <c r="C85" s="46"/>
      <c r="D85" s="47"/>
      <c r="E85" s="48"/>
    </row>
    <row r="86">
      <c r="A86" s="46"/>
      <c r="B86" s="46"/>
      <c r="C86" s="46"/>
      <c r="D86" s="47"/>
      <c r="E86" s="48"/>
    </row>
    <row r="87">
      <c r="A87" s="46"/>
      <c r="B87" s="46"/>
      <c r="C87" s="46"/>
      <c r="D87" s="47"/>
      <c r="E87" s="48"/>
    </row>
    <row r="88">
      <c r="A88" s="46"/>
      <c r="B88" s="46"/>
      <c r="C88" s="46"/>
      <c r="D88" s="47"/>
      <c r="E88" s="48"/>
    </row>
    <row r="89">
      <c r="A89" s="46"/>
      <c r="B89" s="46"/>
      <c r="C89" s="46"/>
      <c r="D89" s="47"/>
      <c r="E89" s="48"/>
    </row>
    <row r="90">
      <c r="A90" s="46"/>
      <c r="B90" s="46"/>
      <c r="C90" s="46"/>
      <c r="D90" s="47"/>
      <c r="E90" s="48"/>
    </row>
    <row r="91">
      <c r="A91" s="46"/>
      <c r="B91" s="46"/>
      <c r="C91" s="46"/>
      <c r="D91" s="47"/>
      <c r="E91" s="48"/>
    </row>
    <row r="92">
      <c r="A92" s="46"/>
      <c r="B92" s="46"/>
      <c r="C92" s="46"/>
      <c r="D92" s="47"/>
      <c r="E92" s="48"/>
    </row>
    <row r="93">
      <c r="A93" s="46"/>
      <c r="B93" s="46"/>
      <c r="C93" s="46"/>
      <c r="D93" s="47"/>
      <c r="E93" s="48"/>
    </row>
    <row r="94">
      <c r="A94" s="46"/>
      <c r="B94" s="46"/>
      <c r="C94" s="46"/>
      <c r="D94" s="47"/>
      <c r="E94" s="48"/>
    </row>
    <row r="95">
      <c r="A95" s="46"/>
      <c r="B95" s="46"/>
      <c r="C95" s="46"/>
      <c r="D95" s="47"/>
      <c r="E95" s="48"/>
    </row>
    <row r="96">
      <c r="A96" s="46"/>
      <c r="B96" s="46"/>
      <c r="C96" s="46"/>
      <c r="D96" s="47"/>
      <c r="E96" s="48"/>
    </row>
    <row r="97">
      <c r="A97" s="46"/>
      <c r="B97" s="46"/>
      <c r="C97" s="46"/>
      <c r="D97" s="47"/>
      <c r="E97" s="48"/>
    </row>
    <row r="98">
      <c r="A98" s="46"/>
      <c r="B98" s="46"/>
      <c r="C98" s="46"/>
      <c r="D98" s="47"/>
      <c r="E98" s="48"/>
    </row>
    <row r="99">
      <c r="A99" s="46"/>
      <c r="B99" s="46"/>
      <c r="C99" s="46"/>
      <c r="D99" s="47"/>
      <c r="E99" s="48"/>
    </row>
    <row r="100">
      <c r="A100" s="46"/>
      <c r="B100" s="46"/>
      <c r="C100" s="46"/>
      <c r="D100" s="47"/>
      <c r="E100" s="48"/>
    </row>
    <row r="101">
      <c r="A101" s="46"/>
      <c r="B101" s="46"/>
      <c r="C101" s="46"/>
      <c r="D101" s="47"/>
      <c r="E101" s="48"/>
    </row>
    <row r="102">
      <c r="A102" s="46"/>
      <c r="B102" s="46"/>
      <c r="C102" s="46"/>
      <c r="D102" s="47"/>
      <c r="E102" s="48"/>
    </row>
    <row r="103">
      <c r="A103" s="46"/>
      <c r="B103" s="46"/>
      <c r="C103" s="46"/>
      <c r="D103" s="47"/>
      <c r="E103" s="48"/>
    </row>
    <row r="104">
      <c r="A104" s="46"/>
      <c r="B104" s="46"/>
      <c r="C104" s="46"/>
      <c r="D104" s="47"/>
      <c r="E104" s="48"/>
    </row>
    <row r="105">
      <c r="A105" s="46"/>
      <c r="B105" s="46"/>
      <c r="C105" s="46"/>
      <c r="D105" s="47"/>
      <c r="E105" s="48"/>
    </row>
    <row r="106">
      <c r="A106" s="46"/>
      <c r="B106" s="46"/>
      <c r="C106" s="46"/>
      <c r="D106" s="47"/>
      <c r="E106" s="48"/>
    </row>
    <row r="107">
      <c r="A107" s="46"/>
      <c r="B107" s="46"/>
      <c r="C107" s="46"/>
      <c r="D107" s="47"/>
      <c r="E107" s="48"/>
    </row>
    <row r="108">
      <c r="A108" s="46"/>
      <c r="B108" s="46"/>
      <c r="C108" s="46"/>
      <c r="D108" s="47"/>
      <c r="E108" s="48"/>
    </row>
    <row r="109">
      <c r="A109" s="46"/>
      <c r="B109" s="46"/>
      <c r="C109" s="46"/>
      <c r="D109" s="47"/>
      <c r="E109" s="48"/>
    </row>
    <row r="110">
      <c r="A110" s="46"/>
      <c r="B110" s="46"/>
      <c r="C110" s="46"/>
      <c r="D110" s="47"/>
      <c r="E110" s="48"/>
    </row>
    <row r="111">
      <c r="A111" s="46"/>
      <c r="B111" s="46"/>
      <c r="C111" s="46"/>
      <c r="D111" s="47"/>
      <c r="E111" s="48"/>
    </row>
    <row r="112">
      <c r="A112" s="46"/>
      <c r="B112" s="46"/>
      <c r="C112" s="46"/>
      <c r="D112" s="47"/>
      <c r="E112" s="48"/>
    </row>
    <row r="113">
      <c r="A113" s="46"/>
      <c r="B113" s="46"/>
      <c r="C113" s="46"/>
      <c r="D113" s="47"/>
      <c r="E113" s="48"/>
    </row>
    <row r="114">
      <c r="A114" s="46"/>
      <c r="B114" s="46"/>
      <c r="C114" s="46"/>
      <c r="D114" s="47"/>
      <c r="E114" s="48"/>
    </row>
    <row r="115">
      <c r="A115" s="46"/>
      <c r="B115" s="46"/>
      <c r="C115" s="46"/>
      <c r="D115" s="47"/>
      <c r="E115" s="48"/>
    </row>
    <row r="116">
      <c r="A116" s="46"/>
      <c r="B116" s="46"/>
      <c r="C116" s="46"/>
      <c r="D116" s="47"/>
      <c r="E116" s="48"/>
    </row>
    <row r="117">
      <c r="A117" s="46"/>
      <c r="B117" s="46"/>
      <c r="C117" s="46"/>
      <c r="D117" s="47"/>
      <c r="E117" s="48"/>
    </row>
    <row r="118">
      <c r="A118" s="46"/>
      <c r="B118" s="46"/>
      <c r="C118" s="46"/>
      <c r="D118" s="47"/>
      <c r="E118" s="48"/>
    </row>
    <row r="119">
      <c r="A119" s="46"/>
      <c r="B119" s="46"/>
      <c r="C119" s="46"/>
      <c r="D119" s="47"/>
      <c r="E119" s="48"/>
    </row>
    <row r="120">
      <c r="A120" s="46"/>
      <c r="B120" s="46"/>
      <c r="C120" s="46"/>
      <c r="D120" s="47"/>
      <c r="E120" s="48"/>
    </row>
    <row r="121">
      <c r="A121" s="46"/>
      <c r="B121" s="46"/>
      <c r="C121" s="46"/>
      <c r="D121" s="47"/>
      <c r="E121" s="48"/>
    </row>
    <row r="122">
      <c r="A122" s="46"/>
      <c r="B122" s="46"/>
      <c r="C122" s="46"/>
      <c r="D122" s="47"/>
      <c r="E122" s="48"/>
    </row>
    <row r="123">
      <c r="A123" s="46"/>
      <c r="B123" s="46"/>
      <c r="C123" s="46"/>
      <c r="D123" s="47"/>
      <c r="E123" s="48"/>
    </row>
    <row r="124">
      <c r="A124" s="46"/>
      <c r="B124" s="46"/>
      <c r="C124" s="46"/>
      <c r="D124" s="47"/>
      <c r="E124" s="48"/>
    </row>
    <row r="125">
      <c r="A125" s="46"/>
      <c r="B125" s="46"/>
      <c r="C125" s="46"/>
      <c r="D125" s="47"/>
      <c r="E125" s="48"/>
    </row>
    <row r="126">
      <c r="A126" s="46"/>
      <c r="B126" s="46"/>
      <c r="C126" s="46"/>
      <c r="D126" s="47"/>
      <c r="E126" s="48"/>
    </row>
    <row r="127">
      <c r="A127" s="46"/>
      <c r="B127" s="46"/>
      <c r="C127" s="46"/>
      <c r="D127" s="47"/>
      <c r="E127" s="48"/>
    </row>
    <row r="128">
      <c r="A128" s="46"/>
      <c r="B128" s="46"/>
      <c r="C128" s="46"/>
      <c r="D128" s="47"/>
      <c r="E128" s="48"/>
    </row>
    <row r="129">
      <c r="A129" s="46"/>
      <c r="B129" s="46"/>
      <c r="C129" s="46"/>
      <c r="D129" s="47"/>
      <c r="E129" s="48"/>
    </row>
    <row r="130">
      <c r="A130" s="46"/>
      <c r="B130" s="46"/>
      <c r="C130" s="46"/>
      <c r="D130" s="47"/>
      <c r="E130" s="48"/>
    </row>
    <row r="131">
      <c r="A131" s="46"/>
      <c r="B131" s="46"/>
      <c r="C131" s="46"/>
      <c r="D131" s="47"/>
      <c r="E131" s="48"/>
    </row>
    <row r="132">
      <c r="A132" s="46"/>
      <c r="B132" s="46"/>
      <c r="C132" s="46"/>
      <c r="D132" s="47"/>
      <c r="E132" s="48"/>
    </row>
    <row r="133">
      <c r="A133" s="46"/>
      <c r="B133" s="46"/>
      <c r="C133" s="46"/>
      <c r="D133" s="47"/>
      <c r="E133" s="48"/>
    </row>
    <row r="134">
      <c r="A134" s="46"/>
      <c r="B134" s="46"/>
      <c r="C134" s="46"/>
      <c r="D134" s="47"/>
      <c r="E134" s="48"/>
    </row>
    <row r="135">
      <c r="A135" s="46"/>
      <c r="B135" s="46"/>
      <c r="C135" s="46"/>
      <c r="D135" s="47"/>
      <c r="E135" s="48"/>
    </row>
    <row r="136">
      <c r="A136" s="46"/>
      <c r="B136" s="46"/>
      <c r="C136" s="46"/>
      <c r="D136" s="47"/>
      <c r="E136" s="48"/>
    </row>
    <row r="137">
      <c r="A137" s="46"/>
      <c r="B137" s="46"/>
      <c r="C137" s="46"/>
      <c r="D137" s="47"/>
      <c r="E137" s="48"/>
    </row>
    <row r="138">
      <c r="A138" s="46"/>
      <c r="B138" s="46"/>
      <c r="C138" s="46"/>
      <c r="D138" s="47"/>
      <c r="E138" s="48"/>
    </row>
    <row r="139">
      <c r="A139" s="46"/>
      <c r="B139" s="46"/>
      <c r="C139" s="46"/>
      <c r="D139" s="47"/>
      <c r="E139" s="48"/>
    </row>
    <row r="140">
      <c r="A140" s="46"/>
      <c r="B140" s="46"/>
      <c r="C140" s="46"/>
      <c r="D140" s="47"/>
      <c r="E140" s="48"/>
    </row>
    <row r="141">
      <c r="A141" s="46"/>
      <c r="B141" s="46"/>
      <c r="C141" s="46"/>
      <c r="D141" s="47"/>
      <c r="E141" s="48"/>
    </row>
    <row r="142">
      <c r="A142" s="46"/>
      <c r="B142" s="46"/>
      <c r="C142" s="46"/>
      <c r="D142" s="47"/>
      <c r="E142" s="48"/>
    </row>
    <row r="143">
      <c r="A143" s="46"/>
      <c r="B143" s="46"/>
      <c r="C143" s="46"/>
      <c r="D143" s="47"/>
      <c r="E143" s="48"/>
    </row>
    <row r="144">
      <c r="A144" s="46"/>
      <c r="B144" s="46"/>
      <c r="C144" s="46"/>
      <c r="D144" s="47"/>
      <c r="E144" s="48"/>
    </row>
    <row r="145">
      <c r="A145" s="46"/>
      <c r="B145" s="46"/>
      <c r="C145" s="46"/>
      <c r="D145" s="47"/>
      <c r="E145" s="48"/>
    </row>
    <row r="146">
      <c r="A146" s="46"/>
      <c r="B146" s="46"/>
      <c r="C146" s="46"/>
      <c r="D146" s="47"/>
      <c r="E146" s="48"/>
    </row>
    <row r="147">
      <c r="A147" s="46"/>
      <c r="B147" s="46"/>
      <c r="C147" s="46"/>
      <c r="D147" s="47"/>
      <c r="E147" s="48"/>
    </row>
    <row r="148">
      <c r="A148" s="46"/>
      <c r="B148" s="46"/>
      <c r="C148" s="46"/>
      <c r="D148" s="47"/>
      <c r="E148" s="48"/>
    </row>
    <row r="149">
      <c r="A149" s="46"/>
      <c r="B149" s="46"/>
      <c r="C149" s="46"/>
      <c r="D149" s="47"/>
      <c r="E149" s="48"/>
    </row>
    <row r="150">
      <c r="A150" s="46"/>
      <c r="B150" s="46"/>
      <c r="C150" s="46"/>
      <c r="D150" s="47"/>
      <c r="E150" s="48"/>
    </row>
    <row r="151">
      <c r="A151" s="46"/>
      <c r="B151" s="46"/>
      <c r="C151" s="46"/>
      <c r="D151" s="47"/>
      <c r="E151" s="48"/>
    </row>
    <row r="152">
      <c r="A152" s="46"/>
      <c r="B152" s="46"/>
      <c r="C152" s="46"/>
      <c r="D152" s="47"/>
      <c r="E152" s="48"/>
    </row>
    <row r="153">
      <c r="A153" s="46"/>
      <c r="B153" s="46"/>
      <c r="C153" s="46"/>
      <c r="D153" s="47"/>
      <c r="E153" s="48"/>
    </row>
    <row r="154">
      <c r="A154" s="46"/>
      <c r="B154" s="46"/>
      <c r="C154" s="46"/>
      <c r="D154" s="47"/>
      <c r="E154" s="48"/>
    </row>
    <row r="155">
      <c r="A155" s="46"/>
      <c r="B155" s="46"/>
      <c r="C155" s="46"/>
      <c r="D155" s="47"/>
      <c r="E155" s="48"/>
    </row>
    <row r="156">
      <c r="A156" s="46"/>
      <c r="B156" s="46"/>
      <c r="C156" s="46"/>
      <c r="D156" s="47"/>
      <c r="E156" s="48"/>
    </row>
    <row r="157">
      <c r="A157" s="46"/>
      <c r="B157" s="46"/>
      <c r="C157" s="46"/>
      <c r="D157" s="47"/>
      <c r="E157" s="48"/>
    </row>
    <row r="158">
      <c r="A158" s="46"/>
      <c r="B158" s="46"/>
      <c r="C158" s="46"/>
      <c r="D158" s="47"/>
      <c r="E158" s="48"/>
    </row>
    <row r="159">
      <c r="A159" s="46"/>
      <c r="B159" s="46"/>
      <c r="C159" s="46"/>
      <c r="D159" s="47"/>
      <c r="E159" s="48"/>
    </row>
    <row r="160">
      <c r="A160" s="46"/>
      <c r="B160" s="46"/>
      <c r="C160" s="46"/>
      <c r="D160" s="47"/>
      <c r="E160" s="48"/>
    </row>
    <row r="161">
      <c r="A161" s="46"/>
      <c r="B161" s="46"/>
      <c r="C161" s="46"/>
      <c r="D161" s="47"/>
      <c r="E161" s="48"/>
    </row>
    <row r="162">
      <c r="A162" s="46"/>
      <c r="B162" s="46"/>
      <c r="C162" s="46"/>
      <c r="D162" s="47"/>
      <c r="E162" s="48"/>
    </row>
    <row r="163">
      <c r="A163" s="46"/>
      <c r="B163" s="46"/>
      <c r="C163" s="46"/>
      <c r="D163" s="47"/>
      <c r="E163" s="48"/>
    </row>
    <row r="164">
      <c r="A164" s="46"/>
      <c r="B164" s="46"/>
      <c r="C164" s="46"/>
      <c r="D164" s="47"/>
      <c r="E164" s="48"/>
    </row>
    <row r="165">
      <c r="A165" s="46"/>
      <c r="B165" s="46"/>
      <c r="C165" s="46"/>
      <c r="D165" s="47"/>
      <c r="E165" s="48"/>
    </row>
    <row r="166">
      <c r="A166" s="46"/>
      <c r="B166" s="46"/>
      <c r="C166" s="46"/>
      <c r="D166" s="47"/>
      <c r="E166" s="48"/>
    </row>
    <row r="167">
      <c r="A167" s="46"/>
      <c r="B167" s="46"/>
      <c r="C167" s="46"/>
      <c r="D167" s="47"/>
      <c r="E167" s="48"/>
    </row>
    <row r="168">
      <c r="A168" s="46"/>
      <c r="B168" s="46"/>
      <c r="C168" s="46"/>
      <c r="D168" s="47"/>
      <c r="E168" s="48"/>
    </row>
    <row r="169">
      <c r="A169" s="46"/>
      <c r="B169" s="46"/>
      <c r="C169" s="46"/>
      <c r="D169" s="47"/>
      <c r="E169" s="48"/>
    </row>
    <row r="170">
      <c r="A170" s="46"/>
      <c r="B170" s="46"/>
      <c r="C170" s="46"/>
      <c r="D170" s="47"/>
      <c r="E170" s="48"/>
    </row>
    <row r="171">
      <c r="A171" s="46"/>
      <c r="B171" s="46"/>
      <c r="C171" s="46"/>
      <c r="D171" s="47"/>
      <c r="E171" s="48"/>
    </row>
    <row r="172">
      <c r="A172" s="46"/>
      <c r="B172" s="46"/>
      <c r="C172" s="46"/>
      <c r="D172" s="47"/>
      <c r="E172" s="48"/>
    </row>
    <row r="173">
      <c r="A173" s="46"/>
      <c r="B173" s="46"/>
      <c r="C173" s="46"/>
      <c r="D173" s="47"/>
      <c r="E173" s="48"/>
    </row>
    <row r="174">
      <c r="A174" s="46"/>
      <c r="B174" s="46"/>
      <c r="C174" s="46"/>
      <c r="D174" s="47"/>
      <c r="E174" s="48"/>
    </row>
    <row r="175">
      <c r="A175" s="46"/>
      <c r="B175" s="46"/>
      <c r="C175" s="46"/>
      <c r="D175" s="47"/>
      <c r="E175" s="48"/>
    </row>
    <row r="176">
      <c r="A176" s="46"/>
      <c r="B176" s="46"/>
      <c r="C176" s="46"/>
      <c r="D176" s="47"/>
      <c r="E176" s="48"/>
    </row>
    <row r="177">
      <c r="A177" s="46"/>
      <c r="B177" s="46"/>
      <c r="C177" s="46"/>
      <c r="D177" s="47"/>
      <c r="E177" s="48"/>
    </row>
    <row r="178">
      <c r="A178" s="46"/>
      <c r="B178" s="46"/>
      <c r="C178" s="46"/>
      <c r="D178" s="47"/>
      <c r="E178" s="48"/>
    </row>
    <row r="179">
      <c r="A179" s="46"/>
      <c r="B179" s="46"/>
      <c r="C179" s="46"/>
      <c r="D179" s="47"/>
      <c r="E179" s="48"/>
    </row>
    <row r="180">
      <c r="A180" s="46"/>
      <c r="B180" s="46"/>
      <c r="C180" s="46"/>
      <c r="D180" s="47"/>
      <c r="E180" s="48"/>
    </row>
    <row r="181">
      <c r="A181" s="46"/>
      <c r="B181" s="46"/>
      <c r="C181" s="46"/>
      <c r="D181" s="47"/>
      <c r="E181" s="48"/>
    </row>
    <row r="182">
      <c r="A182" s="46"/>
      <c r="B182" s="46"/>
      <c r="C182" s="46"/>
      <c r="D182" s="47"/>
      <c r="E182" s="48"/>
    </row>
    <row r="183">
      <c r="A183" s="46"/>
      <c r="B183" s="46"/>
      <c r="C183" s="46"/>
      <c r="D183" s="47"/>
      <c r="E183" s="48"/>
    </row>
    <row r="184">
      <c r="A184" s="46"/>
      <c r="B184" s="46"/>
      <c r="C184" s="46"/>
      <c r="D184" s="47"/>
      <c r="E184" s="48"/>
    </row>
    <row r="185">
      <c r="A185" s="46"/>
      <c r="B185" s="46"/>
      <c r="C185" s="46"/>
      <c r="D185" s="47"/>
      <c r="E185" s="48"/>
    </row>
    <row r="186">
      <c r="A186" s="46"/>
      <c r="B186" s="46"/>
      <c r="C186" s="46"/>
      <c r="D186" s="47"/>
      <c r="E186" s="48"/>
    </row>
    <row r="187">
      <c r="A187" s="46"/>
      <c r="B187" s="46"/>
      <c r="C187" s="46"/>
      <c r="D187" s="47"/>
      <c r="E187" s="48"/>
    </row>
    <row r="188">
      <c r="A188" s="46"/>
      <c r="B188" s="46"/>
      <c r="C188" s="46"/>
      <c r="D188" s="47"/>
      <c r="E188" s="48"/>
    </row>
    <row r="189">
      <c r="A189" s="46"/>
      <c r="B189" s="46"/>
      <c r="C189" s="46"/>
      <c r="D189" s="47"/>
      <c r="E189" s="48"/>
    </row>
    <row r="190">
      <c r="A190" s="46"/>
      <c r="B190" s="46"/>
      <c r="C190" s="46"/>
      <c r="D190" s="47"/>
      <c r="E190" s="48"/>
    </row>
    <row r="191">
      <c r="A191" s="46"/>
      <c r="B191" s="46"/>
      <c r="C191" s="46"/>
      <c r="D191" s="47"/>
      <c r="E191" s="48"/>
    </row>
    <row r="192">
      <c r="A192" s="46"/>
      <c r="B192" s="46"/>
      <c r="C192" s="46"/>
      <c r="D192" s="47"/>
      <c r="E192" s="48"/>
    </row>
    <row r="193">
      <c r="A193" s="46"/>
      <c r="B193" s="46"/>
      <c r="C193" s="46"/>
      <c r="D193" s="47"/>
      <c r="E193" s="48"/>
    </row>
    <row r="194">
      <c r="A194" s="46"/>
      <c r="B194" s="46"/>
      <c r="C194" s="46"/>
      <c r="D194" s="47"/>
      <c r="E194" s="48"/>
    </row>
    <row r="195">
      <c r="A195" s="46"/>
      <c r="B195" s="46"/>
      <c r="C195" s="46"/>
      <c r="D195" s="47"/>
      <c r="E195" s="48"/>
    </row>
    <row r="196">
      <c r="A196" s="46"/>
      <c r="B196" s="46"/>
      <c r="C196" s="46"/>
      <c r="D196" s="47"/>
      <c r="E196" s="48"/>
    </row>
    <row r="197">
      <c r="A197" s="46"/>
      <c r="B197" s="46"/>
      <c r="C197" s="46"/>
      <c r="D197" s="47"/>
      <c r="E197" s="48"/>
    </row>
    <row r="198">
      <c r="A198" s="46"/>
      <c r="B198" s="46"/>
      <c r="C198" s="46"/>
      <c r="D198" s="47"/>
      <c r="E198" s="48"/>
    </row>
    <row r="199">
      <c r="A199" s="46"/>
      <c r="B199" s="46"/>
      <c r="C199" s="46"/>
      <c r="D199" s="47"/>
      <c r="E199" s="48"/>
    </row>
    <row r="200">
      <c r="A200" s="46"/>
      <c r="B200" s="46"/>
      <c r="C200" s="46"/>
      <c r="D200" s="47"/>
      <c r="E200" s="48"/>
    </row>
    <row r="201">
      <c r="A201" s="46"/>
      <c r="B201" s="46"/>
      <c r="C201" s="46"/>
      <c r="D201" s="47"/>
      <c r="E201" s="48"/>
    </row>
    <row r="202">
      <c r="A202" s="46"/>
      <c r="B202" s="46"/>
      <c r="C202" s="46"/>
      <c r="D202" s="47"/>
      <c r="E202" s="48"/>
    </row>
    <row r="203">
      <c r="A203" s="46"/>
      <c r="B203" s="46"/>
      <c r="C203" s="46"/>
      <c r="D203" s="47"/>
      <c r="E203" s="48"/>
    </row>
    <row r="204">
      <c r="A204" s="46"/>
      <c r="B204" s="46"/>
      <c r="C204" s="46"/>
      <c r="D204" s="47"/>
      <c r="E204" s="48"/>
    </row>
    <row r="205">
      <c r="A205" s="46"/>
      <c r="B205" s="46"/>
      <c r="C205" s="46"/>
      <c r="D205" s="47"/>
      <c r="E205" s="48"/>
    </row>
    <row r="206">
      <c r="A206" s="46"/>
      <c r="B206" s="46"/>
      <c r="C206" s="46"/>
      <c r="D206" s="47"/>
      <c r="E206" s="48"/>
    </row>
    <row r="207">
      <c r="A207" s="46"/>
      <c r="B207" s="46"/>
      <c r="C207" s="46"/>
      <c r="D207" s="47"/>
      <c r="E207" s="48"/>
    </row>
    <row r="208">
      <c r="A208" s="46"/>
      <c r="B208" s="46"/>
      <c r="C208" s="46"/>
      <c r="D208" s="47"/>
      <c r="E208" s="48"/>
    </row>
    <row r="209">
      <c r="A209" s="46"/>
      <c r="B209" s="46"/>
      <c r="C209" s="46"/>
      <c r="D209" s="47"/>
      <c r="E209" s="48"/>
    </row>
    <row r="210">
      <c r="A210" s="46"/>
      <c r="B210" s="46"/>
      <c r="C210" s="46"/>
      <c r="D210" s="47"/>
      <c r="E210" s="48"/>
    </row>
    <row r="211">
      <c r="A211" s="46"/>
      <c r="B211" s="46"/>
      <c r="C211" s="46"/>
      <c r="D211" s="47"/>
      <c r="E211" s="48"/>
    </row>
    <row r="212">
      <c r="A212" s="46"/>
      <c r="B212" s="46"/>
      <c r="C212" s="46"/>
      <c r="D212" s="47"/>
      <c r="E212" s="48"/>
    </row>
    <row r="213">
      <c r="A213" s="46"/>
      <c r="B213" s="46"/>
      <c r="C213" s="46"/>
      <c r="D213" s="47"/>
      <c r="E213" s="48"/>
    </row>
    <row r="214">
      <c r="A214" s="46"/>
      <c r="B214" s="46"/>
      <c r="C214" s="46"/>
      <c r="D214" s="47"/>
      <c r="E214" s="48"/>
    </row>
    <row r="215">
      <c r="A215" s="46"/>
      <c r="B215" s="46"/>
      <c r="C215" s="46"/>
      <c r="D215" s="47"/>
      <c r="E215" s="48"/>
    </row>
    <row r="216">
      <c r="A216" s="46"/>
      <c r="B216" s="46"/>
      <c r="C216" s="46"/>
      <c r="D216" s="47"/>
      <c r="E216" s="48"/>
    </row>
    <row r="217">
      <c r="A217" s="46"/>
      <c r="B217" s="46"/>
      <c r="C217" s="46"/>
      <c r="D217" s="47"/>
      <c r="E217" s="48"/>
    </row>
    <row r="218">
      <c r="A218" s="46"/>
      <c r="B218" s="46"/>
      <c r="C218" s="46"/>
      <c r="D218" s="47"/>
      <c r="E218" s="48"/>
    </row>
    <row r="219">
      <c r="A219" s="46"/>
      <c r="B219" s="46"/>
      <c r="C219" s="46"/>
      <c r="D219" s="47"/>
      <c r="E219" s="48"/>
    </row>
    <row r="220">
      <c r="A220" s="46"/>
      <c r="B220" s="46"/>
      <c r="C220" s="46"/>
      <c r="D220" s="47"/>
      <c r="E220" s="48"/>
    </row>
    <row r="221">
      <c r="A221" s="46"/>
      <c r="B221" s="46"/>
      <c r="C221" s="46"/>
      <c r="D221" s="47"/>
      <c r="E221" s="48"/>
    </row>
    <row r="222">
      <c r="A222" s="46"/>
      <c r="B222" s="46"/>
      <c r="C222" s="46"/>
      <c r="D222" s="47"/>
      <c r="E222" s="48"/>
    </row>
    <row r="223">
      <c r="A223" s="46"/>
      <c r="B223" s="46"/>
      <c r="C223" s="46"/>
      <c r="D223" s="47"/>
      <c r="E223" s="48"/>
    </row>
    <row r="224">
      <c r="A224" s="46"/>
      <c r="B224" s="46"/>
      <c r="C224" s="46"/>
      <c r="D224" s="47"/>
      <c r="E224" s="48"/>
    </row>
    <row r="225">
      <c r="A225" s="46"/>
      <c r="B225" s="46"/>
      <c r="C225" s="46"/>
      <c r="D225" s="47"/>
      <c r="E225" s="48"/>
    </row>
    <row r="226">
      <c r="A226" s="46"/>
      <c r="B226" s="46"/>
      <c r="C226" s="46"/>
      <c r="D226" s="47"/>
      <c r="E226" s="48"/>
    </row>
    <row r="227">
      <c r="A227" s="46"/>
      <c r="B227" s="46"/>
      <c r="C227" s="46"/>
      <c r="D227" s="47"/>
      <c r="E227" s="48"/>
    </row>
    <row r="228">
      <c r="A228" s="46"/>
      <c r="B228" s="46"/>
      <c r="C228" s="46"/>
      <c r="D228" s="47"/>
      <c r="E228" s="48"/>
    </row>
    <row r="229">
      <c r="A229" s="46"/>
      <c r="B229" s="46"/>
      <c r="C229" s="46"/>
      <c r="D229" s="47"/>
      <c r="E229" s="48"/>
    </row>
    <row r="230">
      <c r="A230" s="46"/>
      <c r="B230" s="46"/>
      <c r="C230" s="46"/>
      <c r="D230" s="47"/>
      <c r="E230" s="48"/>
    </row>
    <row r="231">
      <c r="A231" s="46"/>
      <c r="B231" s="46"/>
      <c r="C231" s="46"/>
      <c r="D231" s="47"/>
      <c r="E231" s="48"/>
    </row>
    <row r="232">
      <c r="A232" s="46"/>
      <c r="B232" s="46"/>
      <c r="C232" s="46"/>
      <c r="D232" s="47"/>
      <c r="E232" s="48"/>
    </row>
    <row r="233">
      <c r="A233" s="46"/>
      <c r="B233" s="46"/>
      <c r="C233" s="46"/>
      <c r="D233" s="47"/>
      <c r="E233" s="48"/>
    </row>
    <row r="234">
      <c r="A234" s="46"/>
      <c r="B234" s="46"/>
      <c r="C234" s="46"/>
      <c r="D234" s="47"/>
      <c r="E234" s="48"/>
    </row>
    <row r="235">
      <c r="A235" s="46"/>
      <c r="B235" s="46"/>
      <c r="C235" s="46"/>
      <c r="D235" s="47"/>
      <c r="E235" s="48"/>
    </row>
    <row r="236">
      <c r="A236" s="46"/>
      <c r="B236" s="46"/>
      <c r="C236" s="46"/>
      <c r="D236" s="47"/>
      <c r="E236" s="48"/>
    </row>
    <row r="237">
      <c r="A237" s="46"/>
      <c r="B237" s="46"/>
      <c r="C237" s="46"/>
      <c r="D237" s="47"/>
      <c r="E237" s="48"/>
    </row>
    <row r="238">
      <c r="A238" s="46"/>
      <c r="B238" s="46"/>
      <c r="C238" s="46"/>
      <c r="D238" s="47"/>
      <c r="E238" s="48"/>
    </row>
    <row r="239">
      <c r="A239" s="46"/>
      <c r="B239" s="46"/>
      <c r="C239" s="46"/>
      <c r="D239" s="47"/>
      <c r="E239" s="48"/>
    </row>
    <row r="240">
      <c r="A240" s="46"/>
      <c r="B240" s="46"/>
      <c r="C240" s="46"/>
      <c r="D240" s="47"/>
      <c r="E240" s="48"/>
    </row>
    <row r="241">
      <c r="A241" s="46"/>
      <c r="B241" s="46"/>
      <c r="C241" s="46"/>
      <c r="D241" s="47"/>
      <c r="E241" s="48"/>
    </row>
    <row r="242">
      <c r="A242" s="46"/>
      <c r="B242" s="46"/>
      <c r="C242" s="46"/>
      <c r="D242" s="47"/>
      <c r="E242" s="48"/>
    </row>
    <row r="243">
      <c r="A243" s="46"/>
      <c r="B243" s="46"/>
      <c r="C243" s="46"/>
      <c r="D243" s="47"/>
      <c r="E243" s="48"/>
    </row>
    <row r="244">
      <c r="A244" s="46"/>
      <c r="B244" s="46"/>
      <c r="C244" s="46"/>
      <c r="D244" s="47"/>
      <c r="E244" s="48"/>
    </row>
    <row r="245">
      <c r="A245" s="46"/>
      <c r="B245" s="46"/>
      <c r="C245" s="46"/>
      <c r="D245" s="47"/>
      <c r="E245" s="48"/>
    </row>
    <row r="246">
      <c r="A246" s="46"/>
      <c r="B246" s="46"/>
      <c r="C246" s="46"/>
      <c r="D246" s="47"/>
      <c r="E246" s="48"/>
    </row>
    <row r="247">
      <c r="A247" s="46"/>
      <c r="B247" s="46"/>
      <c r="C247" s="46"/>
      <c r="D247" s="47"/>
      <c r="E247" s="48"/>
    </row>
    <row r="248">
      <c r="A248" s="46"/>
      <c r="B248" s="46"/>
      <c r="C248" s="46"/>
      <c r="D248" s="47"/>
      <c r="E248" s="48"/>
    </row>
    <row r="249">
      <c r="A249" s="46"/>
      <c r="B249" s="46"/>
      <c r="C249" s="46"/>
      <c r="D249" s="47"/>
      <c r="E249" s="48"/>
    </row>
    <row r="250">
      <c r="A250" s="46"/>
      <c r="B250" s="46"/>
      <c r="C250" s="46"/>
      <c r="D250" s="47"/>
      <c r="E250" s="48"/>
    </row>
    <row r="251">
      <c r="A251" s="46"/>
      <c r="B251" s="46"/>
      <c r="C251" s="46"/>
      <c r="D251" s="47"/>
      <c r="E251" s="48"/>
    </row>
    <row r="252">
      <c r="A252" s="46"/>
      <c r="B252" s="46"/>
      <c r="C252" s="46"/>
      <c r="D252" s="47"/>
      <c r="E252" s="48"/>
    </row>
    <row r="253">
      <c r="A253" s="46"/>
      <c r="B253" s="46"/>
      <c r="C253" s="46"/>
      <c r="D253" s="47"/>
      <c r="E253" s="48"/>
    </row>
    <row r="254">
      <c r="A254" s="46"/>
      <c r="B254" s="46"/>
      <c r="C254" s="46"/>
      <c r="D254" s="47"/>
      <c r="E254" s="48"/>
    </row>
    <row r="255">
      <c r="A255" s="46"/>
      <c r="B255" s="46"/>
      <c r="C255" s="46"/>
      <c r="D255" s="47"/>
      <c r="E255" s="48"/>
    </row>
    <row r="256">
      <c r="A256" s="46"/>
      <c r="B256" s="46"/>
      <c r="C256" s="46"/>
      <c r="D256" s="47"/>
      <c r="E256" s="48"/>
    </row>
    <row r="257">
      <c r="A257" s="46"/>
      <c r="B257" s="46"/>
      <c r="C257" s="46"/>
      <c r="D257" s="47"/>
      <c r="E257" s="48"/>
    </row>
    <row r="258">
      <c r="A258" s="46"/>
      <c r="B258" s="46"/>
      <c r="C258" s="46"/>
      <c r="D258" s="47"/>
      <c r="E258" s="48"/>
    </row>
    <row r="259">
      <c r="A259" s="46"/>
      <c r="B259" s="46"/>
      <c r="C259" s="46"/>
      <c r="D259" s="47"/>
      <c r="E259" s="48"/>
    </row>
    <row r="260">
      <c r="A260" s="46"/>
      <c r="B260" s="46"/>
      <c r="C260" s="46"/>
      <c r="D260" s="47"/>
      <c r="E260" s="48"/>
    </row>
    <row r="261">
      <c r="A261" s="46"/>
      <c r="B261" s="46"/>
      <c r="C261" s="46"/>
      <c r="D261" s="47"/>
      <c r="E261" s="48"/>
    </row>
    <row r="262">
      <c r="A262" s="46"/>
      <c r="B262" s="46"/>
      <c r="C262" s="46"/>
      <c r="D262" s="47"/>
      <c r="E262" s="48"/>
    </row>
    <row r="263">
      <c r="A263" s="46"/>
      <c r="B263" s="46"/>
      <c r="C263" s="46"/>
      <c r="D263" s="47"/>
      <c r="E263" s="48"/>
    </row>
    <row r="264">
      <c r="A264" s="46"/>
      <c r="B264" s="46"/>
      <c r="C264" s="46"/>
      <c r="D264" s="47"/>
      <c r="E264" s="48"/>
    </row>
    <row r="265">
      <c r="A265" s="46"/>
      <c r="B265" s="46"/>
      <c r="C265" s="46"/>
      <c r="D265" s="47"/>
      <c r="E265" s="48"/>
    </row>
    <row r="266">
      <c r="A266" s="46"/>
      <c r="B266" s="46"/>
      <c r="C266" s="46"/>
      <c r="D266" s="47"/>
      <c r="E266" s="48"/>
    </row>
    <row r="267">
      <c r="A267" s="46"/>
      <c r="B267" s="46"/>
      <c r="C267" s="46"/>
      <c r="D267" s="47"/>
      <c r="E267" s="48"/>
    </row>
    <row r="268">
      <c r="A268" s="46"/>
      <c r="B268" s="46"/>
      <c r="C268" s="46"/>
      <c r="D268" s="47"/>
      <c r="E268" s="48"/>
    </row>
    <row r="269">
      <c r="A269" s="46"/>
      <c r="B269" s="46"/>
      <c r="C269" s="46"/>
      <c r="D269" s="47"/>
      <c r="E269" s="48"/>
    </row>
    <row r="270">
      <c r="A270" s="46"/>
      <c r="B270" s="46"/>
      <c r="C270" s="46"/>
      <c r="D270" s="47"/>
      <c r="E270" s="48"/>
    </row>
    <row r="271">
      <c r="A271" s="46"/>
      <c r="B271" s="46"/>
      <c r="C271" s="46"/>
      <c r="D271" s="47"/>
      <c r="E271" s="48"/>
    </row>
    <row r="272">
      <c r="A272" s="46"/>
      <c r="B272" s="46"/>
      <c r="C272" s="46"/>
      <c r="D272" s="47"/>
      <c r="E272" s="48"/>
    </row>
    <row r="273">
      <c r="A273" s="46"/>
      <c r="B273" s="46"/>
      <c r="C273" s="46"/>
      <c r="D273" s="47"/>
      <c r="E273" s="48"/>
    </row>
    <row r="274">
      <c r="A274" s="46"/>
      <c r="B274" s="46"/>
      <c r="C274" s="46"/>
      <c r="D274" s="47"/>
      <c r="E274" s="48"/>
    </row>
    <row r="275">
      <c r="A275" s="46"/>
      <c r="B275" s="46"/>
      <c r="C275" s="46"/>
      <c r="D275" s="47"/>
      <c r="E275" s="48"/>
    </row>
    <row r="276">
      <c r="A276" s="46"/>
      <c r="B276" s="46"/>
      <c r="C276" s="46"/>
      <c r="D276" s="47"/>
      <c r="E276" s="48"/>
    </row>
    <row r="277">
      <c r="A277" s="46"/>
      <c r="B277" s="46"/>
      <c r="C277" s="46"/>
      <c r="D277" s="47"/>
      <c r="E277" s="48"/>
    </row>
    <row r="278">
      <c r="A278" s="46"/>
      <c r="B278" s="46"/>
      <c r="C278" s="46"/>
      <c r="D278" s="47"/>
      <c r="E278" s="48"/>
    </row>
    <row r="279">
      <c r="A279" s="46"/>
      <c r="B279" s="46"/>
      <c r="C279" s="46"/>
      <c r="D279" s="47"/>
      <c r="E279" s="48"/>
    </row>
    <row r="280">
      <c r="A280" s="46"/>
      <c r="B280" s="46"/>
      <c r="C280" s="46"/>
      <c r="D280" s="47"/>
      <c r="E280" s="48"/>
    </row>
    <row r="281">
      <c r="A281" s="46"/>
      <c r="B281" s="46"/>
      <c r="C281" s="46"/>
      <c r="D281" s="47"/>
      <c r="E281" s="48"/>
    </row>
    <row r="282">
      <c r="A282" s="46"/>
      <c r="B282" s="46"/>
      <c r="C282" s="46"/>
      <c r="D282" s="47"/>
      <c r="E282" s="48"/>
    </row>
    <row r="283">
      <c r="A283" s="46"/>
      <c r="B283" s="46"/>
      <c r="C283" s="46"/>
      <c r="D283" s="47"/>
      <c r="E283" s="48"/>
    </row>
    <row r="284">
      <c r="A284" s="46"/>
      <c r="B284" s="46"/>
      <c r="C284" s="46"/>
      <c r="D284" s="47"/>
      <c r="E284" s="48"/>
    </row>
    <row r="285">
      <c r="A285" s="46"/>
      <c r="B285" s="46"/>
      <c r="C285" s="46"/>
      <c r="D285" s="47"/>
      <c r="E285" s="48"/>
    </row>
    <row r="286">
      <c r="A286" s="46"/>
      <c r="B286" s="46"/>
      <c r="C286" s="46"/>
      <c r="D286" s="47"/>
      <c r="E286" s="48"/>
    </row>
    <row r="287">
      <c r="A287" s="46"/>
      <c r="B287" s="46"/>
      <c r="C287" s="46"/>
      <c r="D287" s="47"/>
      <c r="E287" s="48"/>
    </row>
    <row r="288">
      <c r="A288" s="46"/>
      <c r="B288" s="46"/>
      <c r="C288" s="46"/>
      <c r="D288" s="47"/>
      <c r="E288" s="48"/>
    </row>
    <row r="289">
      <c r="A289" s="46"/>
      <c r="B289" s="46"/>
      <c r="C289" s="46"/>
      <c r="D289" s="47"/>
      <c r="E289" s="48"/>
    </row>
    <row r="290">
      <c r="A290" s="46"/>
      <c r="B290" s="46"/>
      <c r="C290" s="46"/>
      <c r="D290" s="47"/>
      <c r="E290" s="48"/>
    </row>
    <row r="291">
      <c r="A291" s="46"/>
      <c r="B291" s="46"/>
      <c r="C291" s="46"/>
      <c r="D291" s="47"/>
      <c r="E291" s="48"/>
    </row>
    <row r="292">
      <c r="A292" s="46"/>
      <c r="B292" s="46"/>
      <c r="C292" s="46"/>
      <c r="D292" s="47"/>
      <c r="E292" s="48"/>
    </row>
    <row r="293">
      <c r="A293" s="46"/>
      <c r="B293" s="46"/>
      <c r="C293" s="46"/>
      <c r="D293" s="47"/>
      <c r="E293" s="48"/>
    </row>
    <row r="294">
      <c r="A294" s="46"/>
      <c r="B294" s="46"/>
      <c r="C294" s="46"/>
      <c r="D294" s="47"/>
      <c r="E294" s="48"/>
    </row>
    <row r="295">
      <c r="A295" s="46"/>
      <c r="B295" s="46"/>
      <c r="C295" s="46"/>
      <c r="D295" s="47"/>
      <c r="E295" s="48"/>
    </row>
    <row r="296">
      <c r="A296" s="46"/>
      <c r="B296" s="46"/>
      <c r="C296" s="46"/>
      <c r="D296" s="47"/>
      <c r="E296" s="48"/>
    </row>
    <row r="297">
      <c r="A297" s="46"/>
      <c r="B297" s="46"/>
      <c r="C297" s="46"/>
      <c r="D297" s="47"/>
      <c r="E297" s="48"/>
    </row>
    <row r="298">
      <c r="A298" s="46"/>
      <c r="B298" s="46"/>
      <c r="C298" s="46"/>
      <c r="D298" s="47"/>
      <c r="E298" s="48"/>
    </row>
    <row r="299">
      <c r="A299" s="46"/>
      <c r="B299" s="46"/>
      <c r="C299" s="46"/>
      <c r="D299" s="47"/>
      <c r="E299" s="48"/>
    </row>
    <row r="300">
      <c r="A300" s="46"/>
      <c r="B300" s="46"/>
      <c r="C300" s="46"/>
      <c r="D300" s="47"/>
      <c r="E300" s="48"/>
    </row>
    <row r="301">
      <c r="A301" s="46"/>
      <c r="B301" s="46"/>
      <c r="C301" s="46"/>
      <c r="D301" s="47"/>
      <c r="E301" s="48"/>
    </row>
    <row r="302">
      <c r="A302" s="46"/>
      <c r="B302" s="46"/>
      <c r="C302" s="46"/>
      <c r="D302" s="47"/>
      <c r="E302" s="48"/>
    </row>
    <row r="303">
      <c r="A303" s="46"/>
      <c r="B303" s="46"/>
      <c r="C303" s="46"/>
      <c r="D303" s="47"/>
      <c r="E303" s="48"/>
    </row>
    <row r="304">
      <c r="A304" s="46"/>
      <c r="B304" s="46"/>
      <c r="C304" s="46"/>
      <c r="D304" s="47"/>
      <c r="E304" s="48"/>
    </row>
    <row r="305">
      <c r="A305" s="46"/>
      <c r="B305" s="46"/>
      <c r="C305" s="46"/>
      <c r="D305" s="47"/>
      <c r="E305" s="48"/>
    </row>
    <row r="306">
      <c r="A306" s="46"/>
      <c r="B306" s="46"/>
      <c r="C306" s="46"/>
      <c r="D306" s="47"/>
      <c r="E306" s="48"/>
    </row>
    <row r="307">
      <c r="A307" s="46"/>
      <c r="B307" s="46"/>
      <c r="C307" s="46"/>
      <c r="D307" s="47"/>
      <c r="E307" s="48"/>
    </row>
    <row r="308">
      <c r="A308" s="46"/>
      <c r="B308" s="46"/>
      <c r="C308" s="46"/>
      <c r="D308" s="47"/>
      <c r="E308" s="48"/>
    </row>
    <row r="309">
      <c r="A309" s="46"/>
      <c r="B309" s="46"/>
      <c r="C309" s="46"/>
      <c r="D309" s="47"/>
      <c r="E309" s="48"/>
    </row>
    <row r="310">
      <c r="A310" s="46"/>
      <c r="B310" s="46"/>
      <c r="C310" s="46"/>
      <c r="D310" s="47"/>
      <c r="E310" s="48"/>
    </row>
    <row r="311">
      <c r="A311" s="46"/>
      <c r="B311" s="46"/>
      <c r="C311" s="46"/>
      <c r="D311" s="47"/>
      <c r="E311" s="48"/>
    </row>
    <row r="312">
      <c r="A312" s="46"/>
      <c r="B312" s="46"/>
      <c r="C312" s="46"/>
      <c r="D312" s="47"/>
      <c r="E312" s="48"/>
    </row>
    <row r="313">
      <c r="A313" s="46"/>
      <c r="B313" s="46"/>
      <c r="C313" s="46"/>
      <c r="D313" s="47"/>
      <c r="E313" s="48"/>
    </row>
    <row r="314">
      <c r="A314" s="46"/>
      <c r="B314" s="46"/>
      <c r="C314" s="46"/>
      <c r="D314" s="47"/>
      <c r="E314" s="48"/>
    </row>
    <row r="315">
      <c r="A315" s="46"/>
      <c r="B315" s="46"/>
      <c r="C315" s="46"/>
      <c r="D315" s="47"/>
      <c r="E315" s="48"/>
    </row>
    <row r="316">
      <c r="A316" s="46"/>
      <c r="B316" s="46"/>
      <c r="C316" s="46"/>
      <c r="D316" s="47"/>
      <c r="E316" s="48"/>
    </row>
    <row r="317">
      <c r="A317" s="46"/>
      <c r="B317" s="46"/>
      <c r="C317" s="46"/>
      <c r="D317" s="47"/>
      <c r="E317" s="48"/>
    </row>
    <row r="318">
      <c r="A318" s="46"/>
      <c r="B318" s="46"/>
      <c r="C318" s="46"/>
      <c r="D318" s="47"/>
      <c r="E318" s="48"/>
    </row>
    <row r="319">
      <c r="A319" s="46"/>
      <c r="B319" s="46"/>
      <c r="C319" s="46"/>
      <c r="D319" s="47"/>
      <c r="E319" s="48"/>
    </row>
    <row r="320">
      <c r="A320" s="46"/>
      <c r="B320" s="46"/>
      <c r="C320" s="46"/>
      <c r="D320" s="47"/>
      <c r="E320" s="48"/>
    </row>
    <row r="321">
      <c r="A321" s="46"/>
      <c r="B321" s="46"/>
      <c r="C321" s="46"/>
      <c r="D321" s="47"/>
      <c r="E321" s="48"/>
    </row>
    <row r="322">
      <c r="A322" s="46"/>
      <c r="B322" s="46"/>
      <c r="C322" s="46"/>
      <c r="D322" s="47"/>
      <c r="E322" s="48"/>
    </row>
    <row r="323">
      <c r="A323" s="46"/>
      <c r="B323" s="46"/>
      <c r="C323" s="46"/>
      <c r="D323" s="47"/>
      <c r="E323" s="48"/>
    </row>
    <row r="324">
      <c r="A324" s="46"/>
      <c r="B324" s="46"/>
      <c r="C324" s="46"/>
      <c r="D324" s="47"/>
      <c r="E324" s="48"/>
    </row>
    <row r="325">
      <c r="A325" s="46"/>
      <c r="B325" s="46"/>
      <c r="C325" s="46"/>
      <c r="D325" s="47"/>
      <c r="E325" s="48"/>
    </row>
    <row r="326">
      <c r="A326" s="46"/>
      <c r="B326" s="46"/>
      <c r="C326" s="46"/>
      <c r="D326" s="47"/>
      <c r="E326" s="48"/>
    </row>
    <row r="327">
      <c r="A327" s="46"/>
      <c r="B327" s="46"/>
      <c r="C327" s="46"/>
      <c r="D327" s="47"/>
      <c r="E327" s="48"/>
    </row>
    <row r="328">
      <c r="A328" s="46"/>
      <c r="B328" s="46"/>
      <c r="C328" s="46"/>
      <c r="D328" s="47"/>
      <c r="E328" s="48"/>
    </row>
    <row r="329">
      <c r="A329" s="46"/>
      <c r="B329" s="46"/>
      <c r="C329" s="46"/>
      <c r="D329" s="47"/>
      <c r="E329" s="48"/>
    </row>
    <row r="330">
      <c r="A330" s="46"/>
      <c r="B330" s="46"/>
      <c r="C330" s="46"/>
      <c r="D330" s="47"/>
      <c r="E330" s="48"/>
    </row>
    <row r="331">
      <c r="A331" s="46"/>
      <c r="B331" s="46"/>
      <c r="C331" s="46"/>
      <c r="D331" s="47"/>
      <c r="E331" s="48"/>
    </row>
    <row r="332">
      <c r="A332" s="46"/>
      <c r="B332" s="46"/>
      <c r="C332" s="46"/>
      <c r="D332" s="47"/>
      <c r="E332" s="48"/>
    </row>
    <row r="333">
      <c r="A333" s="46"/>
      <c r="B333" s="46"/>
      <c r="C333" s="46"/>
      <c r="D333" s="47"/>
      <c r="E333" s="48"/>
    </row>
    <row r="334">
      <c r="A334" s="46"/>
      <c r="B334" s="46"/>
      <c r="C334" s="46"/>
      <c r="D334" s="47"/>
      <c r="E334" s="48"/>
    </row>
    <row r="335">
      <c r="A335" s="46"/>
      <c r="B335" s="46"/>
      <c r="C335" s="46"/>
      <c r="D335" s="47"/>
      <c r="E335" s="48"/>
    </row>
    <row r="336">
      <c r="A336" s="46"/>
      <c r="B336" s="46"/>
      <c r="C336" s="46"/>
      <c r="D336" s="47"/>
      <c r="E336" s="48"/>
    </row>
    <row r="337">
      <c r="A337" s="46"/>
      <c r="B337" s="46"/>
      <c r="C337" s="46"/>
      <c r="D337" s="47"/>
      <c r="E337" s="48"/>
    </row>
    <row r="338">
      <c r="A338" s="46"/>
      <c r="B338" s="46"/>
      <c r="C338" s="46"/>
      <c r="D338" s="47"/>
      <c r="E338" s="48"/>
    </row>
    <row r="339">
      <c r="A339" s="46"/>
      <c r="B339" s="46"/>
      <c r="C339" s="46"/>
      <c r="D339" s="47"/>
      <c r="E339" s="48"/>
    </row>
    <row r="340">
      <c r="A340" s="46"/>
      <c r="B340" s="46"/>
      <c r="C340" s="46"/>
      <c r="D340" s="47"/>
      <c r="E340" s="48"/>
    </row>
    <row r="341">
      <c r="A341" s="46"/>
      <c r="B341" s="46"/>
      <c r="C341" s="46"/>
      <c r="D341" s="47"/>
      <c r="E341" s="48"/>
    </row>
    <row r="342">
      <c r="A342" s="46"/>
      <c r="B342" s="46"/>
      <c r="C342" s="46"/>
      <c r="D342" s="47"/>
      <c r="E342" s="48"/>
    </row>
    <row r="343">
      <c r="A343" s="46"/>
      <c r="B343" s="46"/>
      <c r="C343" s="46"/>
      <c r="D343" s="47"/>
      <c r="E343" s="48"/>
    </row>
    <row r="344">
      <c r="A344" s="46"/>
      <c r="B344" s="46"/>
      <c r="C344" s="46"/>
      <c r="D344" s="47"/>
      <c r="E344" s="48"/>
    </row>
    <row r="345">
      <c r="A345" s="46"/>
      <c r="B345" s="46"/>
      <c r="C345" s="46"/>
      <c r="D345" s="47"/>
      <c r="E345" s="48"/>
    </row>
    <row r="346">
      <c r="A346" s="46"/>
      <c r="B346" s="46"/>
      <c r="C346" s="46"/>
      <c r="D346" s="47"/>
      <c r="E346" s="48"/>
    </row>
    <row r="347">
      <c r="A347" s="46"/>
      <c r="B347" s="46"/>
      <c r="C347" s="46"/>
      <c r="D347" s="47"/>
      <c r="E347" s="48"/>
    </row>
    <row r="348">
      <c r="A348" s="46"/>
      <c r="B348" s="46"/>
      <c r="C348" s="46"/>
      <c r="D348" s="47"/>
      <c r="E348" s="48"/>
    </row>
    <row r="349">
      <c r="A349" s="46"/>
      <c r="B349" s="46"/>
      <c r="C349" s="46"/>
      <c r="D349" s="47"/>
      <c r="E349" s="48"/>
    </row>
    <row r="350">
      <c r="A350" s="46"/>
      <c r="B350" s="46"/>
      <c r="C350" s="46"/>
      <c r="D350" s="47"/>
      <c r="E350" s="48"/>
    </row>
    <row r="351">
      <c r="A351" s="46"/>
      <c r="B351" s="46"/>
      <c r="C351" s="46"/>
      <c r="D351" s="47"/>
      <c r="E351" s="48"/>
    </row>
    <row r="352">
      <c r="A352" s="46"/>
      <c r="B352" s="46"/>
      <c r="C352" s="46"/>
      <c r="D352" s="47"/>
      <c r="E352" s="48"/>
    </row>
    <row r="353">
      <c r="A353" s="46"/>
      <c r="B353" s="46"/>
      <c r="C353" s="46"/>
      <c r="D353" s="47"/>
      <c r="E353" s="48"/>
    </row>
    <row r="354">
      <c r="A354" s="46"/>
      <c r="B354" s="46"/>
      <c r="C354" s="46"/>
      <c r="D354" s="47"/>
      <c r="E354" s="48"/>
    </row>
    <row r="355">
      <c r="A355" s="46"/>
      <c r="B355" s="46"/>
      <c r="C355" s="46"/>
      <c r="D355" s="47"/>
      <c r="E355" s="48"/>
    </row>
    <row r="356">
      <c r="A356" s="46"/>
      <c r="B356" s="46"/>
      <c r="C356" s="46"/>
      <c r="D356" s="47"/>
      <c r="E356" s="48"/>
    </row>
    <row r="357">
      <c r="A357" s="46"/>
      <c r="B357" s="46"/>
      <c r="C357" s="46"/>
      <c r="D357" s="47"/>
      <c r="E357" s="48"/>
    </row>
    <row r="358">
      <c r="A358" s="46"/>
      <c r="B358" s="46"/>
      <c r="C358" s="46"/>
      <c r="D358" s="47"/>
      <c r="E358" s="48"/>
    </row>
    <row r="359">
      <c r="A359" s="46"/>
      <c r="B359" s="46"/>
      <c r="C359" s="46"/>
      <c r="D359" s="47"/>
      <c r="E359" s="48"/>
    </row>
    <row r="360">
      <c r="A360" s="46"/>
      <c r="B360" s="46"/>
      <c r="C360" s="46"/>
      <c r="D360" s="47"/>
      <c r="E360" s="48"/>
    </row>
    <row r="361">
      <c r="A361" s="46"/>
      <c r="B361" s="46"/>
      <c r="C361" s="46"/>
      <c r="D361" s="47"/>
      <c r="E361" s="48"/>
    </row>
    <row r="362">
      <c r="A362" s="46"/>
      <c r="B362" s="46"/>
      <c r="C362" s="46"/>
      <c r="D362" s="47"/>
      <c r="E362" s="48"/>
    </row>
    <row r="363">
      <c r="A363" s="46"/>
      <c r="B363" s="46"/>
      <c r="C363" s="46"/>
      <c r="D363" s="47"/>
      <c r="E363" s="48"/>
    </row>
    <row r="364">
      <c r="A364" s="46"/>
      <c r="B364" s="46"/>
      <c r="C364" s="46"/>
      <c r="D364" s="47"/>
      <c r="E364" s="48"/>
    </row>
    <row r="365">
      <c r="A365" s="46"/>
      <c r="B365" s="46"/>
      <c r="C365" s="46"/>
      <c r="D365" s="47"/>
      <c r="E365" s="48"/>
    </row>
    <row r="366">
      <c r="A366" s="46"/>
      <c r="B366" s="46"/>
      <c r="C366" s="46"/>
      <c r="D366" s="47"/>
      <c r="E366" s="48"/>
    </row>
    <row r="367">
      <c r="A367" s="46"/>
      <c r="B367" s="46"/>
      <c r="C367" s="46"/>
      <c r="D367" s="47"/>
      <c r="E367" s="48"/>
    </row>
    <row r="368">
      <c r="A368" s="46"/>
      <c r="B368" s="46"/>
      <c r="C368" s="46"/>
      <c r="D368" s="47"/>
      <c r="E368" s="48"/>
    </row>
    <row r="369">
      <c r="A369" s="46"/>
      <c r="B369" s="46"/>
      <c r="C369" s="46"/>
      <c r="D369" s="47"/>
      <c r="E369" s="48"/>
    </row>
    <row r="370">
      <c r="A370" s="46"/>
      <c r="B370" s="46"/>
      <c r="C370" s="46"/>
      <c r="D370" s="47"/>
      <c r="E370" s="48"/>
    </row>
    <row r="371">
      <c r="A371" s="46"/>
      <c r="B371" s="46"/>
      <c r="C371" s="46"/>
      <c r="D371" s="47"/>
      <c r="E371" s="48"/>
    </row>
    <row r="372">
      <c r="A372" s="46"/>
      <c r="B372" s="46"/>
      <c r="C372" s="46"/>
      <c r="D372" s="47"/>
      <c r="E372" s="48"/>
    </row>
    <row r="373">
      <c r="A373" s="46"/>
      <c r="B373" s="46"/>
      <c r="C373" s="46"/>
      <c r="D373" s="47"/>
      <c r="E373" s="48"/>
    </row>
    <row r="374">
      <c r="A374" s="46"/>
      <c r="B374" s="46"/>
      <c r="C374" s="46"/>
      <c r="D374" s="47"/>
      <c r="E374" s="48"/>
    </row>
    <row r="375">
      <c r="A375" s="46"/>
      <c r="B375" s="46"/>
      <c r="C375" s="46"/>
      <c r="D375" s="47"/>
      <c r="E375" s="48"/>
    </row>
    <row r="376">
      <c r="A376" s="46"/>
      <c r="B376" s="46"/>
      <c r="C376" s="46"/>
      <c r="D376" s="47"/>
      <c r="E376" s="48"/>
    </row>
    <row r="377">
      <c r="A377" s="46"/>
      <c r="B377" s="46"/>
      <c r="C377" s="46"/>
      <c r="D377" s="47"/>
      <c r="E377" s="48"/>
    </row>
    <row r="378">
      <c r="A378" s="46"/>
      <c r="B378" s="46"/>
      <c r="C378" s="46"/>
      <c r="D378" s="47"/>
      <c r="E378" s="48"/>
    </row>
    <row r="379">
      <c r="A379" s="46"/>
      <c r="B379" s="46"/>
      <c r="C379" s="46"/>
      <c r="D379" s="47"/>
      <c r="E379" s="48"/>
    </row>
    <row r="380">
      <c r="A380" s="46"/>
      <c r="B380" s="46"/>
      <c r="C380" s="46"/>
      <c r="D380" s="47"/>
      <c r="E380" s="48"/>
    </row>
    <row r="381">
      <c r="A381" s="46"/>
      <c r="B381" s="46"/>
      <c r="C381" s="46"/>
      <c r="D381" s="47"/>
      <c r="E381" s="48"/>
    </row>
    <row r="382">
      <c r="A382" s="46"/>
      <c r="B382" s="46"/>
      <c r="C382" s="46"/>
      <c r="D382" s="47"/>
      <c r="E382" s="48"/>
    </row>
    <row r="383">
      <c r="A383" s="46"/>
      <c r="B383" s="46"/>
      <c r="C383" s="46"/>
      <c r="D383" s="47"/>
      <c r="E383" s="48"/>
    </row>
    <row r="384">
      <c r="A384" s="46"/>
      <c r="B384" s="46"/>
      <c r="C384" s="46"/>
      <c r="D384" s="47"/>
      <c r="E384" s="48"/>
    </row>
    <row r="385">
      <c r="A385" s="46"/>
      <c r="B385" s="46"/>
      <c r="C385" s="46"/>
      <c r="D385" s="47"/>
      <c r="E385" s="48"/>
    </row>
    <row r="386">
      <c r="A386" s="46"/>
      <c r="B386" s="46"/>
      <c r="C386" s="46"/>
      <c r="D386" s="47"/>
      <c r="E386" s="48"/>
    </row>
    <row r="387">
      <c r="A387" s="46"/>
      <c r="B387" s="46"/>
      <c r="C387" s="46"/>
      <c r="D387" s="47"/>
      <c r="E387" s="48"/>
    </row>
    <row r="388">
      <c r="A388" s="46"/>
      <c r="B388" s="46"/>
      <c r="C388" s="46"/>
      <c r="D388" s="47"/>
      <c r="E388" s="48"/>
    </row>
    <row r="389">
      <c r="A389" s="46"/>
      <c r="B389" s="46"/>
      <c r="C389" s="46"/>
      <c r="D389" s="47"/>
      <c r="E389" s="48"/>
    </row>
    <row r="390">
      <c r="A390" s="46"/>
      <c r="B390" s="46"/>
      <c r="C390" s="46"/>
      <c r="D390" s="47"/>
      <c r="E390" s="48"/>
    </row>
    <row r="391">
      <c r="A391" s="46"/>
      <c r="B391" s="46"/>
      <c r="C391" s="46"/>
      <c r="D391" s="47"/>
      <c r="E391" s="48"/>
    </row>
    <row r="392">
      <c r="A392" s="46"/>
      <c r="B392" s="46"/>
      <c r="C392" s="46"/>
      <c r="D392" s="47"/>
      <c r="E392" s="48"/>
    </row>
    <row r="393">
      <c r="A393" s="46"/>
      <c r="B393" s="46"/>
      <c r="C393" s="46"/>
      <c r="D393" s="47"/>
      <c r="E393" s="48"/>
    </row>
    <row r="394">
      <c r="A394" s="46"/>
      <c r="B394" s="46"/>
      <c r="C394" s="46"/>
      <c r="D394" s="47"/>
      <c r="E394" s="48"/>
    </row>
    <row r="395">
      <c r="A395" s="46"/>
      <c r="B395" s="46"/>
      <c r="C395" s="46"/>
      <c r="D395" s="47"/>
      <c r="E395" s="48"/>
    </row>
    <row r="396">
      <c r="A396" s="46"/>
      <c r="B396" s="46"/>
      <c r="C396" s="46"/>
      <c r="D396" s="47"/>
      <c r="E396" s="48"/>
    </row>
    <row r="397">
      <c r="A397" s="46"/>
      <c r="B397" s="46"/>
      <c r="C397" s="46"/>
      <c r="D397" s="47"/>
      <c r="E397" s="48"/>
    </row>
    <row r="398">
      <c r="A398" s="46"/>
      <c r="B398" s="46"/>
      <c r="C398" s="46"/>
      <c r="D398" s="47"/>
      <c r="E398" s="48"/>
    </row>
    <row r="399">
      <c r="A399" s="46"/>
      <c r="B399" s="46"/>
      <c r="C399" s="46"/>
      <c r="D399" s="47"/>
      <c r="E399" s="48"/>
    </row>
    <row r="400">
      <c r="A400" s="46"/>
      <c r="B400" s="46"/>
      <c r="C400" s="46"/>
      <c r="D400" s="47"/>
      <c r="E400" s="48"/>
    </row>
    <row r="401">
      <c r="A401" s="46"/>
      <c r="B401" s="46"/>
      <c r="C401" s="46"/>
      <c r="D401" s="47"/>
      <c r="E401" s="48"/>
    </row>
    <row r="402">
      <c r="A402" s="46"/>
      <c r="B402" s="46"/>
      <c r="C402" s="46"/>
      <c r="D402" s="47"/>
      <c r="E402" s="48"/>
    </row>
    <row r="403">
      <c r="A403" s="46"/>
      <c r="B403" s="46"/>
      <c r="C403" s="46"/>
      <c r="D403" s="47"/>
      <c r="E403" s="48"/>
    </row>
    <row r="404">
      <c r="A404" s="46"/>
      <c r="B404" s="46"/>
      <c r="C404" s="46"/>
      <c r="D404" s="47"/>
      <c r="E404" s="48"/>
    </row>
    <row r="405">
      <c r="A405" s="46"/>
      <c r="B405" s="46"/>
      <c r="C405" s="46"/>
      <c r="D405" s="47"/>
      <c r="E405" s="48"/>
    </row>
    <row r="406">
      <c r="A406" s="46"/>
      <c r="B406" s="46"/>
      <c r="C406" s="46"/>
      <c r="D406" s="47"/>
      <c r="E406" s="48"/>
    </row>
    <row r="407">
      <c r="A407" s="46"/>
      <c r="B407" s="46"/>
      <c r="C407" s="46"/>
      <c r="D407" s="47"/>
      <c r="E407" s="48"/>
    </row>
    <row r="408">
      <c r="A408" s="46"/>
      <c r="B408" s="46"/>
      <c r="C408" s="46"/>
      <c r="D408" s="47"/>
      <c r="E408" s="48"/>
    </row>
    <row r="409">
      <c r="A409" s="46"/>
      <c r="B409" s="46"/>
      <c r="C409" s="46"/>
      <c r="D409" s="47"/>
      <c r="E409" s="48"/>
    </row>
    <row r="410">
      <c r="A410" s="46"/>
      <c r="B410" s="46"/>
      <c r="C410" s="46"/>
      <c r="D410" s="47"/>
      <c r="E410" s="48"/>
    </row>
    <row r="411">
      <c r="A411" s="46"/>
      <c r="B411" s="46"/>
      <c r="C411" s="46"/>
      <c r="D411" s="47"/>
      <c r="E411" s="48"/>
    </row>
    <row r="412">
      <c r="A412" s="46"/>
      <c r="B412" s="46"/>
      <c r="C412" s="46"/>
      <c r="D412" s="47"/>
      <c r="E412" s="48"/>
    </row>
    <row r="413">
      <c r="A413" s="46"/>
      <c r="B413" s="46"/>
      <c r="C413" s="46"/>
      <c r="D413" s="47"/>
      <c r="E413" s="48"/>
    </row>
    <row r="414">
      <c r="A414" s="46"/>
      <c r="B414" s="46"/>
      <c r="C414" s="46"/>
      <c r="D414" s="47"/>
      <c r="E414" s="48"/>
    </row>
    <row r="415">
      <c r="A415" s="46"/>
      <c r="B415" s="46"/>
      <c r="C415" s="46"/>
      <c r="D415" s="47"/>
      <c r="E415" s="48"/>
    </row>
    <row r="416">
      <c r="A416" s="46"/>
      <c r="B416" s="46"/>
      <c r="C416" s="46"/>
      <c r="D416" s="47"/>
      <c r="E416" s="48"/>
    </row>
    <row r="417">
      <c r="A417" s="46"/>
      <c r="B417" s="46"/>
      <c r="C417" s="46"/>
      <c r="D417" s="47"/>
      <c r="E417" s="48"/>
    </row>
    <row r="418">
      <c r="A418" s="46"/>
      <c r="B418" s="46"/>
      <c r="C418" s="46"/>
      <c r="D418" s="47"/>
      <c r="E418" s="48"/>
    </row>
    <row r="419">
      <c r="A419" s="46"/>
      <c r="B419" s="46"/>
      <c r="C419" s="46"/>
      <c r="D419" s="47"/>
      <c r="E419" s="48"/>
    </row>
    <row r="420">
      <c r="A420" s="46"/>
      <c r="B420" s="46"/>
      <c r="C420" s="46"/>
      <c r="D420" s="47"/>
      <c r="E420" s="48"/>
    </row>
    <row r="421">
      <c r="A421" s="46"/>
      <c r="B421" s="46"/>
      <c r="C421" s="46"/>
      <c r="D421" s="47"/>
      <c r="E421" s="48"/>
    </row>
    <row r="422">
      <c r="A422" s="46"/>
      <c r="B422" s="46"/>
      <c r="C422" s="46"/>
      <c r="D422" s="47"/>
      <c r="E422" s="48"/>
    </row>
    <row r="423">
      <c r="A423" s="46"/>
      <c r="B423" s="46"/>
      <c r="C423" s="46"/>
      <c r="D423" s="47"/>
      <c r="E423" s="48"/>
    </row>
    <row r="424">
      <c r="A424" s="46"/>
      <c r="B424" s="46"/>
      <c r="C424" s="46"/>
      <c r="D424" s="47"/>
      <c r="E424" s="48"/>
    </row>
    <row r="425">
      <c r="A425" s="46"/>
      <c r="B425" s="46"/>
      <c r="C425" s="46"/>
      <c r="D425" s="47"/>
      <c r="E425" s="48"/>
    </row>
    <row r="426">
      <c r="A426" s="46"/>
      <c r="B426" s="46"/>
      <c r="C426" s="46"/>
      <c r="D426" s="47"/>
      <c r="E426" s="48"/>
    </row>
    <row r="427">
      <c r="A427" s="46"/>
      <c r="B427" s="46"/>
      <c r="C427" s="46"/>
      <c r="D427" s="47"/>
      <c r="E427" s="48"/>
    </row>
    <row r="428">
      <c r="A428" s="46"/>
      <c r="B428" s="46"/>
      <c r="C428" s="46"/>
      <c r="D428" s="47"/>
      <c r="E428" s="48"/>
    </row>
    <row r="429">
      <c r="A429" s="46"/>
      <c r="B429" s="46"/>
      <c r="C429" s="46"/>
      <c r="D429" s="47"/>
      <c r="E429" s="48"/>
    </row>
    <row r="430">
      <c r="A430" s="46"/>
      <c r="B430" s="46"/>
      <c r="C430" s="46"/>
      <c r="D430" s="47"/>
      <c r="E430" s="48"/>
    </row>
    <row r="431">
      <c r="A431" s="46"/>
      <c r="B431" s="46"/>
      <c r="C431" s="46"/>
      <c r="D431" s="47"/>
      <c r="E431" s="48"/>
    </row>
    <row r="432">
      <c r="A432" s="46"/>
      <c r="B432" s="46"/>
      <c r="C432" s="46"/>
      <c r="D432" s="47"/>
      <c r="E432" s="48"/>
    </row>
    <row r="433">
      <c r="A433" s="46"/>
      <c r="B433" s="46"/>
      <c r="C433" s="46"/>
      <c r="D433" s="47"/>
      <c r="E433" s="48"/>
    </row>
    <row r="434">
      <c r="A434" s="46"/>
      <c r="B434" s="46"/>
      <c r="C434" s="46"/>
      <c r="D434" s="47"/>
      <c r="E434" s="48"/>
    </row>
    <row r="435">
      <c r="A435" s="46"/>
      <c r="B435" s="46"/>
      <c r="C435" s="46"/>
      <c r="D435" s="47"/>
      <c r="E435" s="48"/>
    </row>
    <row r="436">
      <c r="A436" s="46"/>
      <c r="B436" s="46"/>
      <c r="C436" s="46"/>
      <c r="D436" s="47"/>
      <c r="E436" s="48"/>
    </row>
    <row r="437">
      <c r="A437" s="46"/>
      <c r="B437" s="46"/>
      <c r="C437" s="46"/>
      <c r="D437" s="47"/>
      <c r="E437" s="48"/>
    </row>
    <row r="438">
      <c r="A438" s="46"/>
      <c r="B438" s="46"/>
      <c r="C438" s="46"/>
      <c r="D438" s="47"/>
      <c r="E438" s="48"/>
    </row>
    <row r="439">
      <c r="A439" s="46"/>
      <c r="B439" s="46"/>
      <c r="C439" s="46"/>
      <c r="D439" s="47"/>
      <c r="E439" s="48"/>
    </row>
    <row r="440">
      <c r="A440" s="46"/>
      <c r="B440" s="46"/>
      <c r="C440" s="46"/>
      <c r="D440" s="47"/>
      <c r="E440" s="48"/>
    </row>
    <row r="441">
      <c r="A441" s="46"/>
      <c r="B441" s="46"/>
      <c r="C441" s="46"/>
      <c r="D441" s="47"/>
      <c r="E441" s="48"/>
    </row>
    <row r="442">
      <c r="A442" s="46"/>
      <c r="B442" s="46"/>
      <c r="C442" s="46"/>
      <c r="D442" s="47"/>
      <c r="E442" s="48"/>
    </row>
    <row r="443">
      <c r="A443" s="46"/>
      <c r="B443" s="46"/>
      <c r="C443" s="46"/>
      <c r="D443" s="47"/>
      <c r="E443" s="48"/>
    </row>
    <row r="444">
      <c r="A444" s="46"/>
      <c r="B444" s="46"/>
      <c r="C444" s="46"/>
      <c r="D444" s="47"/>
      <c r="E444" s="48"/>
    </row>
    <row r="445">
      <c r="A445" s="46"/>
      <c r="B445" s="46"/>
      <c r="C445" s="46"/>
      <c r="D445" s="47"/>
      <c r="E445" s="48"/>
    </row>
    <row r="446">
      <c r="A446" s="46"/>
      <c r="B446" s="46"/>
      <c r="C446" s="46"/>
      <c r="D446" s="47"/>
      <c r="E446" s="48"/>
    </row>
    <row r="447">
      <c r="A447" s="46"/>
      <c r="B447" s="46"/>
      <c r="C447" s="46"/>
      <c r="D447" s="47"/>
      <c r="E447" s="48"/>
    </row>
    <row r="448">
      <c r="A448" s="46"/>
      <c r="B448" s="46"/>
      <c r="C448" s="46"/>
      <c r="D448" s="47"/>
      <c r="E448" s="48"/>
    </row>
    <row r="449">
      <c r="A449" s="46"/>
      <c r="B449" s="46"/>
      <c r="C449" s="46"/>
      <c r="D449" s="47"/>
      <c r="E449" s="48"/>
    </row>
    <row r="450">
      <c r="A450" s="46"/>
      <c r="B450" s="46"/>
      <c r="C450" s="46"/>
      <c r="D450" s="47"/>
      <c r="E450" s="48"/>
    </row>
    <row r="451">
      <c r="A451" s="46"/>
      <c r="B451" s="46"/>
      <c r="C451" s="46"/>
      <c r="D451" s="47"/>
      <c r="E451" s="48"/>
    </row>
    <row r="452">
      <c r="A452" s="46"/>
      <c r="B452" s="46"/>
      <c r="C452" s="46"/>
      <c r="D452" s="47"/>
      <c r="E452" s="48"/>
    </row>
    <row r="453">
      <c r="A453" s="46"/>
      <c r="B453" s="46"/>
      <c r="C453" s="46"/>
      <c r="D453" s="47"/>
      <c r="E453" s="48"/>
    </row>
    <row r="454">
      <c r="A454" s="46"/>
      <c r="B454" s="46"/>
      <c r="C454" s="46"/>
      <c r="D454" s="47"/>
      <c r="E454" s="48"/>
    </row>
    <row r="455">
      <c r="A455" s="46"/>
      <c r="B455" s="46"/>
      <c r="C455" s="46"/>
      <c r="D455" s="47"/>
      <c r="E455" s="48"/>
    </row>
    <row r="456">
      <c r="A456" s="46"/>
      <c r="B456" s="46"/>
      <c r="C456" s="46"/>
      <c r="D456" s="47"/>
      <c r="E456" s="48"/>
    </row>
    <row r="457">
      <c r="A457" s="46"/>
      <c r="B457" s="46"/>
      <c r="C457" s="46"/>
      <c r="D457" s="47"/>
      <c r="E457" s="48"/>
    </row>
    <row r="458">
      <c r="A458" s="46"/>
      <c r="B458" s="46"/>
      <c r="C458" s="46"/>
      <c r="D458" s="47"/>
      <c r="E458" s="48"/>
    </row>
    <row r="459">
      <c r="A459" s="46"/>
      <c r="B459" s="46"/>
      <c r="C459" s="46"/>
      <c r="D459" s="47"/>
      <c r="E459" s="48"/>
    </row>
    <row r="460">
      <c r="A460" s="46"/>
      <c r="B460" s="46"/>
      <c r="C460" s="46"/>
      <c r="D460" s="47"/>
      <c r="E460" s="48"/>
    </row>
    <row r="461">
      <c r="A461" s="46"/>
      <c r="B461" s="46"/>
      <c r="C461" s="46"/>
      <c r="D461" s="47"/>
      <c r="E461" s="48"/>
    </row>
    <row r="462">
      <c r="A462" s="46"/>
      <c r="B462" s="46"/>
      <c r="C462" s="46"/>
      <c r="D462" s="47"/>
      <c r="E462" s="48"/>
    </row>
    <row r="463">
      <c r="A463" s="46"/>
      <c r="B463" s="46"/>
      <c r="C463" s="46"/>
      <c r="D463" s="47"/>
      <c r="E463" s="48"/>
    </row>
    <row r="464">
      <c r="A464" s="46"/>
      <c r="B464" s="46"/>
      <c r="C464" s="46"/>
      <c r="D464" s="47"/>
      <c r="E464" s="48"/>
    </row>
    <row r="465">
      <c r="A465" s="46"/>
      <c r="B465" s="46"/>
      <c r="C465" s="46"/>
      <c r="D465" s="47"/>
      <c r="E465" s="48"/>
    </row>
    <row r="466">
      <c r="A466" s="46"/>
      <c r="B466" s="46"/>
      <c r="C466" s="46"/>
      <c r="D466" s="47"/>
      <c r="E466" s="48"/>
    </row>
    <row r="467">
      <c r="A467" s="46"/>
      <c r="B467" s="46"/>
      <c r="C467" s="46"/>
      <c r="D467" s="47"/>
      <c r="E467" s="48"/>
    </row>
    <row r="468">
      <c r="A468" s="46"/>
      <c r="B468" s="46"/>
      <c r="C468" s="46"/>
      <c r="D468" s="47"/>
      <c r="E468" s="48"/>
    </row>
    <row r="469">
      <c r="A469" s="46"/>
      <c r="B469" s="46"/>
      <c r="C469" s="46"/>
      <c r="D469" s="47"/>
      <c r="E469" s="48"/>
    </row>
    <row r="470">
      <c r="A470" s="46"/>
      <c r="B470" s="46"/>
      <c r="C470" s="46"/>
      <c r="D470" s="47"/>
      <c r="E470" s="48"/>
    </row>
    <row r="471">
      <c r="A471" s="46"/>
      <c r="B471" s="46"/>
      <c r="C471" s="46"/>
      <c r="D471" s="47"/>
      <c r="E471" s="48"/>
    </row>
    <row r="472">
      <c r="A472" s="46"/>
      <c r="B472" s="46"/>
      <c r="C472" s="46"/>
      <c r="D472" s="47"/>
      <c r="E472" s="48"/>
    </row>
    <row r="473">
      <c r="A473" s="46"/>
      <c r="B473" s="46"/>
      <c r="C473" s="46"/>
      <c r="D473" s="47"/>
      <c r="E473" s="48"/>
    </row>
    <row r="474">
      <c r="A474" s="46"/>
      <c r="B474" s="46"/>
      <c r="C474" s="46"/>
      <c r="D474" s="47"/>
      <c r="E474" s="48"/>
    </row>
    <row r="475">
      <c r="A475" s="46"/>
      <c r="B475" s="46"/>
      <c r="C475" s="46"/>
      <c r="D475" s="47"/>
      <c r="E475" s="48"/>
    </row>
    <row r="476">
      <c r="A476" s="46"/>
      <c r="B476" s="46"/>
      <c r="C476" s="46"/>
      <c r="D476" s="47"/>
      <c r="E476" s="48"/>
    </row>
    <row r="477">
      <c r="A477" s="46"/>
      <c r="B477" s="46"/>
      <c r="C477" s="46"/>
      <c r="D477" s="47"/>
      <c r="E477" s="48"/>
    </row>
    <row r="478">
      <c r="A478" s="46"/>
      <c r="B478" s="46"/>
      <c r="C478" s="46"/>
      <c r="D478" s="47"/>
      <c r="E478" s="48"/>
    </row>
    <row r="479">
      <c r="A479" s="46"/>
      <c r="B479" s="46"/>
      <c r="C479" s="46"/>
      <c r="D479" s="47"/>
      <c r="E479" s="48"/>
    </row>
    <row r="480">
      <c r="A480" s="46"/>
      <c r="B480" s="46"/>
      <c r="C480" s="46"/>
      <c r="D480" s="47"/>
      <c r="E480" s="48"/>
    </row>
    <row r="481">
      <c r="A481" s="46"/>
      <c r="B481" s="46"/>
      <c r="C481" s="46"/>
      <c r="D481" s="47"/>
      <c r="E481" s="48"/>
    </row>
    <row r="482">
      <c r="A482" s="46"/>
      <c r="B482" s="46"/>
      <c r="C482" s="46"/>
      <c r="D482" s="47"/>
      <c r="E482" s="48"/>
    </row>
    <row r="483">
      <c r="A483" s="46"/>
      <c r="B483" s="46"/>
      <c r="C483" s="46"/>
      <c r="D483" s="47"/>
      <c r="E483" s="48"/>
    </row>
    <row r="484">
      <c r="A484" s="46"/>
      <c r="B484" s="46"/>
      <c r="C484" s="46"/>
      <c r="D484" s="47"/>
      <c r="E484" s="48"/>
    </row>
    <row r="485">
      <c r="A485" s="46"/>
      <c r="B485" s="46"/>
      <c r="C485" s="46"/>
      <c r="D485" s="47"/>
      <c r="E485" s="48"/>
    </row>
    <row r="486">
      <c r="A486" s="46"/>
      <c r="B486" s="46"/>
      <c r="C486" s="46"/>
      <c r="D486" s="47"/>
      <c r="E486" s="48"/>
    </row>
    <row r="487">
      <c r="A487" s="46"/>
      <c r="B487" s="46"/>
      <c r="C487" s="46"/>
      <c r="D487" s="47"/>
      <c r="E487" s="48"/>
    </row>
    <row r="488">
      <c r="A488" s="46"/>
      <c r="B488" s="46"/>
      <c r="C488" s="46"/>
      <c r="D488" s="47"/>
      <c r="E488" s="48"/>
    </row>
    <row r="489">
      <c r="A489" s="46"/>
      <c r="B489" s="46"/>
      <c r="C489" s="46"/>
      <c r="D489" s="47"/>
      <c r="E489" s="48"/>
    </row>
    <row r="490">
      <c r="A490" s="46"/>
      <c r="B490" s="46"/>
      <c r="C490" s="46"/>
      <c r="D490" s="47"/>
      <c r="E490" s="48"/>
    </row>
    <row r="491">
      <c r="A491" s="46"/>
      <c r="B491" s="46"/>
      <c r="C491" s="46"/>
      <c r="D491" s="47"/>
      <c r="E491" s="48"/>
    </row>
    <row r="492">
      <c r="A492" s="46"/>
      <c r="B492" s="46"/>
      <c r="C492" s="46"/>
      <c r="D492" s="47"/>
      <c r="E492" s="48"/>
    </row>
    <row r="493">
      <c r="A493" s="46"/>
      <c r="B493" s="46"/>
      <c r="C493" s="46"/>
      <c r="D493" s="47"/>
      <c r="E493" s="48"/>
    </row>
    <row r="494">
      <c r="A494" s="46"/>
      <c r="B494" s="46"/>
      <c r="C494" s="46"/>
      <c r="D494" s="47"/>
      <c r="E494" s="48"/>
    </row>
    <row r="495">
      <c r="A495" s="46"/>
      <c r="B495" s="46"/>
      <c r="C495" s="46"/>
      <c r="D495" s="47"/>
      <c r="E495" s="48"/>
    </row>
    <row r="496">
      <c r="A496" s="46"/>
      <c r="B496" s="46"/>
      <c r="C496" s="46"/>
      <c r="D496" s="47"/>
      <c r="E496" s="48"/>
    </row>
    <row r="497">
      <c r="A497" s="46"/>
      <c r="B497" s="46"/>
      <c r="C497" s="46"/>
      <c r="D497" s="47"/>
      <c r="E497" s="48"/>
    </row>
    <row r="498">
      <c r="A498" s="46"/>
      <c r="B498" s="46"/>
      <c r="C498" s="46"/>
      <c r="D498" s="47"/>
      <c r="E498" s="48"/>
    </row>
    <row r="499">
      <c r="A499" s="46"/>
      <c r="B499" s="46"/>
      <c r="C499" s="46"/>
      <c r="D499" s="47"/>
      <c r="E499" s="48"/>
    </row>
    <row r="500">
      <c r="A500" s="46"/>
      <c r="B500" s="46"/>
      <c r="C500" s="46"/>
      <c r="D500" s="47"/>
      <c r="E500" s="48"/>
    </row>
    <row r="501">
      <c r="A501" s="46"/>
      <c r="B501" s="46"/>
      <c r="C501" s="46"/>
      <c r="D501" s="47"/>
      <c r="E501" s="48"/>
    </row>
    <row r="502">
      <c r="A502" s="46"/>
      <c r="B502" s="46"/>
      <c r="C502" s="46"/>
      <c r="D502" s="47"/>
      <c r="E502" s="48"/>
    </row>
    <row r="503">
      <c r="A503" s="46"/>
      <c r="B503" s="46"/>
      <c r="C503" s="46"/>
      <c r="D503" s="47"/>
      <c r="E503" s="48"/>
    </row>
    <row r="504">
      <c r="A504" s="46"/>
      <c r="B504" s="46"/>
      <c r="C504" s="46"/>
      <c r="D504" s="47"/>
      <c r="E504" s="48"/>
    </row>
    <row r="505">
      <c r="A505" s="46"/>
      <c r="B505" s="46"/>
      <c r="C505" s="46"/>
      <c r="D505" s="47"/>
      <c r="E505" s="48"/>
    </row>
    <row r="506">
      <c r="A506" s="46"/>
      <c r="B506" s="46"/>
      <c r="C506" s="46"/>
      <c r="D506" s="47"/>
      <c r="E506" s="48"/>
    </row>
    <row r="507">
      <c r="A507" s="46"/>
      <c r="B507" s="46"/>
      <c r="C507" s="46"/>
      <c r="D507" s="47"/>
      <c r="E507" s="48"/>
    </row>
    <row r="508">
      <c r="A508" s="46"/>
      <c r="B508" s="46"/>
      <c r="C508" s="46"/>
      <c r="D508" s="47"/>
      <c r="E508" s="48"/>
    </row>
    <row r="509">
      <c r="A509" s="46"/>
      <c r="B509" s="46"/>
      <c r="C509" s="46"/>
      <c r="D509" s="47"/>
      <c r="E509" s="48"/>
    </row>
    <row r="510">
      <c r="A510" s="46"/>
      <c r="B510" s="46"/>
      <c r="C510" s="46"/>
      <c r="D510" s="47"/>
      <c r="E510" s="48"/>
    </row>
    <row r="511">
      <c r="A511" s="46"/>
      <c r="B511" s="46"/>
      <c r="C511" s="46"/>
      <c r="D511" s="47"/>
      <c r="E511" s="48"/>
    </row>
    <row r="512">
      <c r="A512" s="46"/>
      <c r="B512" s="46"/>
      <c r="C512" s="46"/>
      <c r="D512" s="47"/>
      <c r="E512" s="48"/>
    </row>
    <row r="513">
      <c r="A513" s="46"/>
      <c r="B513" s="46"/>
      <c r="C513" s="46"/>
      <c r="D513" s="47"/>
      <c r="E513" s="48"/>
    </row>
    <row r="514">
      <c r="A514" s="46"/>
      <c r="B514" s="46"/>
      <c r="C514" s="46"/>
      <c r="D514" s="47"/>
      <c r="E514" s="48"/>
    </row>
    <row r="515">
      <c r="A515" s="46"/>
      <c r="B515" s="46"/>
      <c r="C515" s="46"/>
      <c r="D515" s="47"/>
      <c r="E515" s="48"/>
    </row>
    <row r="516">
      <c r="A516" s="46"/>
      <c r="B516" s="46"/>
      <c r="C516" s="46"/>
      <c r="D516" s="47"/>
      <c r="E516" s="48"/>
    </row>
    <row r="517">
      <c r="A517" s="46"/>
      <c r="B517" s="46"/>
      <c r="C517" s="46"/>
      <c r="D517" s="47"/>
      <c r="E517" s="48"/>
    </row>
    <row r="518">
      <c r="A518" s="46"/>
      <c r="B518" s="46"/>
      <c r="C518" s="46"/>
      <c r="D518" s="47"/>
      <c r="E518" s="48"/>
    </row>
    <row r="519">
      <c r="A519" s="46"/>
      <c r="B519" s="46"/>
      <c r="C519" s="46"/>
      <c r="D519" s="47"/>
      <c r="E519" s="48"/>
    </row>
    <row r="520">
      <c r="A520" s="46"/>
      <c r="B520" s="46"/>
      <c r="C520" s="46"/>
      <c r="D520" s="47"/>
      <c r="E520" s="48"/>
    </row>
    <row r="521">
      <c r="A521" s="46"/>
      <c r="B521" s="46"/>
      <c r="C521" s="46"/>
      <c r="D521" s="47"/>
      <c r="E521" s="48"/>
    </row>
    <row r="522">
      <c r="A522" s="46"/>
      <c r="B522" s="46"/>
      <c r="C522" s="46"/>
      <c r="D522" s="47"/>
      <c r="E522" s="48"/>
    </row>
    <row r="523">
      <c r="A523" s="46"/>
      <c r="B523" s="46"/>
      <c r="C523" s="46"/>
      <c r="D523" s="47"/>
      <c r="E523" s="48"/>
    </row>
    <row r="524">
      <c r="A524" s="46"/>
      <c r="B524" s="46"/>
      <c r="C524" s="46"/>
      <c r="D524" s="47"/>
      <c r="E524" s="48"/>
    </row>
    <row r="525">
      <c r="A525" s="46"/>
      <c r="B525" s="46"/>
      <c r="C525" s="46"/>
      <c r="D525" s="47"/>
      <c r="E525" s="48"/>
    </row>
    <row r="526">
      <c r="A526" s="46"/>
      <c r="B526" s="46"/>
      <c r="C526" s="46"/>
      <c r="D526" s="47"/>
      <c r="E526" s="48"/>
    </row>
    <row r="527">
      <c r="A527" s="46"/>
      <c r="B527" s="46"/>
      <c r="C527" s="46"/>
      <c r="D527" s="47"/>
      <c r="E527" s="48"/>
    </row>
    <row r="528">
      <c r="A528" s="46"/>
      <c r="B528" s="46"/>
      <c r="C528" s="46"/>
      <c r="D528" s="47"/>
      <c r="E528" s="48"/>
    </row>
    <row r="529">
      <c r="A529" s="46"/>
      <c r="B529" s="46"/>
      <c r="C529" s="46"/>
      <c r="D529" s="47"/>
      <c r="E529" s="48"/>
    </row>
    <row r="530">
      <c r="A530" s="46"/>
      <c r="B530" s="46"/>
      <c r="C530" s="46"/>
      <c r="D530" s="47"/>
      <c r="E530" s="48"/>
    </row>
    <row r="531">
      <c r="A531" s="46"/>
      <c r="B531" s="46"/>
      <c r="C531" s="46"/>
      <c r="D531" s="47"/>
      <c r="E531" s="48"/>
    </row>
    <row r="532">
      <c r="A532" s="46"/>
      <c r="B532" s="46"/>
      <c r="C532" s="46"/>
      <c r="D532" s="47"/>
      <c r="E532" s="48"/>
    </row>
    <row r="533">
      <c r="A533" s="46"/>
      <c r="B533" s="46"/>
      <c r="C533" s="46"/>
      <c r="D533" s="47"/>
      <c r="E533" s="48"/>
    </row>
    <row r="534">
      <c r="A534" s="46"/>
      <c r="B534" s="46"/>
      <c r="C534" s="46"/>
      <c r="D534" s="47"/>
      <c r="E534" s="48"/>
    </row>
    <row r="535">
      <c r="A535" s="46"/>
      <c r="B535" s="46"/>
      <c r="C535" s="46"/>
      <c r="D535" s="47"/>
      <c r="E535" s="48"/>
    </row>
    <row r="536">
      <c r="A536" s="46"/>
      <c r="B536" s="46"/>
      <c r="C536" s="46"/>
      <c r="D536" s="47"/>
      <c r="E536" s="48"/>
    </row>
    <row r="537">
      <c r="A537" s="46"/>
      <c r="B537" s="46"/>
      <c r="C537" s="46"/>
      <c r="D537" s="47"/>
      <c r="E537" s="48"/>
    </row>
    <row r="538">
      <c r="A538" s="46"/>
      <c r="B538" s="46"/>
      <c r="C538" s="46"/>
      <c r="D538" s="47"/>
      <c r="E538" s="48"/>
    </row>
    <row r="539">
      <c r="A539" s="46"/>
      <c r="B539" s="46"/>
      <c r="C539" s="46"/>
      <c r="D539" s="47"/>
      <c r="E539" s="48"/>
    </row>
    <row r="540">
      <c r="A540" s="46"/>
      <c r="B540" s="46"/>
      <c r="C540" s="46"/>
      <c r="D540" s="47"/>
      <c r="E540" s="48"/>
    </row>
    <row r="541">
      <c r="A541" s="46"/>
      <c r="B541" s="46"/>
      <c r="C541" s="46"/>
      <c r="D541" s="47"/>
      <c r="E541" s="48"/>
    </row>
    <row r="542">
      <c r="A542" s="46"/>
      <c r="B542" s="46"/>
      <c r="C542" s="46"/>
      <c r="D542" s="47"/>
      <c r="E542" s="48"/>
    </row>
    <row r="543">
      <c r="A543" s="46"/>
      <c r="B543" s="46"/>
      <c r="C543" s="46"/>
      <c r="D543" s="47"/>
      <c r="E543" s="48"/>
    </row>
    <row r="544">
      <c r="A544" s="46"/>
      <c r="B544" s="46"/>
      <c r="C544" s="46"/>
      <c r="D544" s="47"/>
      <c r="E544" s="48"/>
    </row>
    <row r="545">
      <c r="A545" s="46"/>
      <c r="B545" s="46"/>
      <c r="C545" s="46"/>
      <c r="D545" s="47"/>
      <c r="E545" s="48"/>
    </row>
    <row r="546">
      <c r="A546" s="46"/>
      <c r="B546" s="46"/>
      <c r="C546" s="46"/>
      <c r="D546" s="47"/>
      <c r="E546" s="48"/>
    </row>
    <row r="547">
      <c r="A547" s="46"/>
      <c r="B547" s="46"/>
      <c r="C547" s="46"/>
      <c r="D547" s="47"/>
      <c r="E547" s="48"/>
    </row>
    <row r="548">
      <c r="A548" s="46"/>
      <c r="B548" s="46"/>
      <c r="C548" s="46"/>
      <c r="D548" s="47"/>
      <c r="E548" s="48"/>
    </row>
    <row r="549">
      <c r="A549" s="46"/>
      <c r="B549" s="46"/>
      <c r="C549" s="46"/>
      <c r="D549" s="47"/>
      <c r="E549" s="48"/>
    </row>
    <row r="550">
      <c r="A550" s="46"/>
      <c r="B550" s="46"/>
      <c r="C550" s="46"/>
      <c r="D550" s="47"/>
      <c r="E550" s="48"/>
    </row>
    <row r="551">
      <c r="A551" s="46"/>
      <c r="B551" s="46"/>
      <c r="C551" s="46"/>
      <c r="D551" s="47"/>
      <c r="E551" s="48"/>
    </row>
    <row r="552">
      <c r="A552" s="46"/>
      <c r="B552" s="46"/>
      <c r="C552" s="46"/>
      <c r="D552" s="47"/>
      <c r="E552" s="48"/>
    </row>
    <row r="553">
      <c r="A553" s="46"/>
      <c r="B553" s="46"/>
      <c r="C553" s="46"/>
      <c r="D553" s="47"/>
      <c r="E553" s="48"/>
    </row>
    <row r="554">
      <c r="A554" s="46"/>
      <c r="B554" s="46"/>
      <c r="C554" s="46"/>
      <c r="D554" s="47"/>
      <c r="E554" s="48"/>
    </row>
    <row r="555">
      <c r="A555" s="46"/>
      <c r="B555" s="46"/>
      <c r="C555" s="46"/>
      <c r="D555" s="47"/>
      <c r="E555" s="48"/>
    </row>
    <row r="556">
      <c r="A556" s="46"/>
      <c r="B556" s="46"/>
      <c r="C556" s="46"/>
      <c r="D556" s="47"/>
      <c r="E556" s="48"/>
    </row>
    <row r="557">
      <c r="A557" s="46"/>
      <c r="B557" s="46"/>
      <c r="C557" s="46"/>
      <c r="D557" s="47"/>
      <c r="E557" s="48"/>
    </row>
    <row r="558">
      <c r="A558" s="46"/>
      <c r="B558" s="46"/>
      <c r="C558" s="46"/>
      <c r="D558" s="47"/>
      <c r="E558" s="48"/>
    </row>
    <row r="559">
      <c r="A559" s="46"/>
      <c r="B559" s="46"/>
      <c r="C559" s="46"/>
      <c r="D559" s="47"/>
      <c r="E559" s="48"/>
    </row>
    <row r="560">
      <c r="A560" s="46"/>
      <c r="B560" s="46"/>
      <c r="C560" s="46"/>
      <c r="D560" s="47"/>
      <c r="E560" s="48"/>
    </row>
    <row r="561">
      <c r="A561" s="46"/>
      <c r="B561" s="46"/>
      <c r="C561" s="46"/>
      <c r="D561" s="47"/>
      <c r="E561" s="48"/>
    </row>
    <row r="562">
      <c r="A562" s="46"/>
      <c r="B562" s="46"/>
      <c r="C562" s="46"/>
      <c r="D562" s="47"/>
      <c r="E562" s="48"/>
    </row>
    <row r="563">
      <c r="A563" s="46"/>
      <c r="B563" s="46"/>
      <c r="C563" s="46"/>
      <c r="D563" s="47"/>
      <c r="E563" s="48"/>
    </row>
    <row r="564">
      <c r="A564" s="46"/>
      <c r="B564" s="46"/>
      <c r="C564" s="46"/>
      <c r="D564" s="47"/>
      <c r="E564" s="48"/>
    </row>
    <row r="565">
      <c r="A565" s="46"/>
      <c r="B565" s="46"/>
      <c r="C565" s="46"/>
      <c r="D565" s="47"/>
      <c r="E565" s="48"/>
    </row>
    <row r="566">
      <c r="A566" s="46"/>
      <c r="B566" s="46"/>
      <c r="C566" s="46"/>
      <c r="D566" s="47"/>
      <c r="E566" s="48"/>
    </row>
    <row r="567">
      <c r="A567" s="46"/>
      <c r="B567" s="46"/>
      <c r="C567" s="46"/>
      <c r="D567" s="47"/>
      <c r="E567" s="48"/>
    </row>
    <row r="568">
      <c r="A568" s="46"/>
      <c r="B568" s="46"/>
      <c r="C568" s="46"/>
      <c r="D568" s="47"/>
      <c r="E568" s="48"/>
    </row>
    <row r="569">
      <c r="A569" s="46"/>
      <c r="B569" s="46"/>
      <c r="C569" s="46"/>
      <c r="D569" s="47"/>
      <c r="E569" s="48"/>
    </row>
    <row r="570">
      <c r="A570" s="46"/>
      <c r="B570" s="46"/>
      <c r="C570" s="46"/>
      <c r="D570" s="47"/>
      <c r="E570" s="48"/>
    </row>
    <row r="571">
      <c r="A571" s="46"/>
      <c r="B571" s="46"/>
      <c r="C571" s="46"/>
      <c r="D571" s="47"/>
      <c r="E571" s="48"/>
    </row>
    <row r="572">
      <c r="A572" s="46"/>
      <c r="B572" s="46"/>
      <c r="C572" s="46"/>
      <c r="D572" s="47"/>
      <c r="E572" s="48"/>
    </row>
    <row r="573">
      <c r="A573" s="46"/>
      <c r="B573" s="46"/>
      <c r="C573" s="46"/>
      <c r="D573" s="47"/>
      <c r="E573" s="48"/>
    </row>
    <row r="574">
      <c r="A574" s="46"/>
      <c r="B574" s="46"/>
      <c r="C574" s="46"/>
      <c r="D574" s="47"/>
      <c r="E574" s="48"/>
    </row>
    <row r="575">
      <c r="A575" s="46"/>
      <c r="B575" s="46"/>
      <c r="C575" s="46"/>
      <c r="D575" s="47"/>
      <c r="E575" s="48"/>
    </row>
    <row r="576">
      <c r="A576" s="46"/>
      <c r="B576" s="46"/>
      <c r="C576" s="46"/>
      <c r="D576" s="47"/>
      <c r="E576" s="48"/>
    </row>
    <row r="577">
      <c r="A577" s="46"/>
      <c r="B577" s="46"/>
      <c r="C577" s="46"/>
      <c r="D577" s="47"/>
      <c r="E577" s="48"/>
    </row>
    <row r="578">
      <c r="A578" s="46"/>
      <c r="B578" s="46"/>
      <c r="C578" s="46"/>
      <c r="D578" s="47"/>
      <c r="E578" s="48"/>
    </row>
    <row r="579">
      <c r="A579" s="46"/>
      <c r="B579" s="46"/>
      <c r="C579" s="46"/>
      <c r="D579" s="47"/>
      <c r="E579" s="48"/>
    </row>
    <row r="580">
      <c r="A580" s="46"/>
      <c r="B580" s="46"/>
      <c r="C580" s="46"/>
      <c r="D580" s="47"/>
      <c r="E580" s="48"/>
    </row>
    <row r="581">
      <c r="A581" s="46"/>
      <c r="B581" s="46"/>
      <c r="C581" s="46"/>
      <c r="D581" s="47"/>
      <c r="E581" s="48"/>
    </row>
    <row r="582">
      <c r="A582" s="46"/>
      <c r="B582" s="46"/>
      <c r="C582" s="46"/>
      <c r="D582" s="47"/>
      <c r="E582" s="48"/>
    </row>
    <row r="583">
      <c r="A583" s="46"/>
      <c r="B583" s="46"/>
      <c r="C583" s="46"/>
      <c r="D583" s="47"/>
      <c r="E583" s="48"/>
    </row>
    <row r="584">
      <c r="A584" s="46"/>
      <c r="B584" s="46"/>
      <c r="C584" s="46"/>
      <c r="D584" s="47"/>
      <c r="E584" s="48"/>
    </row>
    <row r="585">
      <c r="A585" s="46"/>
      <c r="B585" s="46"/>
      <c r="C585" s="46"/>
      <c r="D585" s="47"/>
      <c r="E585" s="48"/>
    </row>
    <row r="586">
      <c r="A586" s="46"/>
      <c r="B586" s="46"/>
      <c r="C586" s="46"/>
      <c r="D586" s="47"/>
      <c r="E586" s="48"/>
    </row>
    <row r="587">
      <c r="A587" s="46"/>
      <c r="B587" s="46"/>
      <c r="C587" s="46"/>
      <c r="D587" s="47"/>
      <c r="E587" s="48"/>
    </row>
    <row r="588">
      <c r="A588" s="46"/>
      <c r="B588" s="46"/>
      <c r="C588" s="46"/>
      <c r="D588" s="47"/>
      <c r="E588" s="48"/>
    </row>
    <row r="589">
      <c r="A589" s="46"/>
      <c r="B589" s="46"/>
      <c r="C589" s="46"/>
      <c r="D589" s="47"/>
      <c r="E589" s="48"/>
    </row>
    <row r="590">
      <c r="A590" s="46"/>
      <c r="B590" s="46"/>
      <c r="C590" s="46"/>
      <c r="D590" s="47"/>
      <c r="E590" s="48"/>
    </row>
    <row r="591">
      <c r="A591" s="46"/>
      <c r="B591" s="46"/>
      <c r="C591" s="46"/>
      <c r="D591" s="47"/>
      <c r="E591" s="48"/>
    </row>
    <row r="592">
      <c r="A592" s="46"/>
      <c r="B592" s="46"/>
      <c r="C592" s="46"/>
      <c r="D592" s="47"/>
      <c r="E592" s="48"/>
    </row>
    <row r="593">
      <c r="A593" s="46"/>
      <c r="B593" s="46"/>
      <c r="C593" s="46"/>
      <c r="D593" s="47"/>
      <c r="E593" s="48"/>
    </row>
    <row r="594">
      <c r="A594" s="46"/>
      <c r="B594" s="46"/>
      <c r="C594" s="46"/>
      <c r="D594" s="47"/>
      <c r="E594" s="48"/>
    </row>
    <row r="595">
      <c r="A595" s="46"/>
      <c r="B595" s="46"/>
      <c r="C595" s="46"/>
      <c r="D595" s="47"/>
      <c r="E595" s="48"/>
    </row>
    <row r="596">
      <c r="A596" s="46"/>
      <c r="B596" s="46"/>
      <c r="C596" s="46"/>
      <c r="D596" s="47"/>
      <c r="E596" s="48"/>
    </row>
    <row r="597">
      <c r="A597" s="46"/>
      <c r="B597" s="46"/>
      <c r="C597" s="46"/>
      <c r="D597" s="47"/>
      <c r="E597" s="48"/>
    </row>
    <row r="598">
      <c r="A598" s="46"/>
      <c r="B598" s="46"/>
      <c r="C598" s="46"/>
      <c r="D598" s="47"/>
      <c r="E598" s="48"/>
    </row>
    <row r="599">
      <c r="A599" s="46"/>
      <c r="B599" s="46"/>
      <c r="C599" s="46"/>
      <c r="D599" s="47"/>
      <c r="E599" s="48"/>
    </row>
    <row r="600">
      <c r="A600" s="46"/>
      <c r="B600" s="46"/>
      <c r="C600" s="46"/>
      <c r="D600" s="47"/>
      <c r="E600" s="48"/>
    </row>
    <row r="601">
      <c r="A601" s="46"/>
      <c r="B601" s="46"/>
      <c r="C601" s="46"/>
      <c r="D601" s="47"/>
      <c r="E601" s="48"/>
    </row>
    <row r="602">
      <c r="A602" s="46"/>
      <c r="B602" s="46"/>
      <c r="C602" s="46"/>
      <c r="D602" s="47"/>
      <c r="E602" s="48"/>
    </row>
    <row r="603">
      <c r="A603" s="46"/>
      <c r="B603" s="46"/>
      <c r="C603" s="46"/>
      <c r="D603" s="47"/>
      <c r="E603" s="48"/>
    </row>
    <row r="604">
      <c r="A604" s="46"/>
      <c r="B604" s="46"/>
      <c r="C604" s="46"/>
      <c r="D604" s="47"/>
      <c r="E604" s="48"/>
    </row>
    <row r="605">
      <c r="A605" s="46"/>
      <c r="B605" s="46"/>
      <c r="C605" s="46"/>
      <c r="D605" s="47"/>
      <c r="E605" s="48"/>
    </row>
    <row r="606">
      <c r="A606" s="46"/>
      <c r="B606" s="46"/>
      <c r="C606" s="46"/>
      <c r="D606" s="47"/>
      <c r="E606" s="48"/>
    </row>
    <row r="607">
      <c r="A607" s="46"/>
      <c r="B607" s="46"/>
      <c r="C607" s="46"/>
      <c r="D607" s="47"/>
      <c r="E607" s="48"/>
    </row>
    <row r="608">
      <c r="A608" s="46"/>
      <c r="B608" s="46"/>
      <c r="C608" s="46"/>
      <c r="D608" s="47"/>
      <c r="E608" s="48"/>
    </row>
    <row r="609">
      <c r="A609" s="46"/>
      <c r="B609" s="46"/>
      <c r="C609" s="46"/>
      <c r="D609" s="47"/>
      <c r="E609" s="48"/>
    </row>
    <row r="610">
      <c r="A610" s="46"/>
      <c r="B610" s="46"/>
      <c r="C610" s="46"/>
      <c r="D610" s="47"/>
      <c r="E610" s="48"/>
    </row>
    <row r="611">
      <c r="A611" s="46"/>
      <c r="B611" s="46"/>
      <c r="C611" s="46"/>
      <c r="D611" s="47"/>
      <c r="E611" s="48"/>
    </row>
    <row r="612">
      <c r="A612" s="46"/>
      <c r="B612" s="46"/>
      <c r="C612" s="46"/>
      <c r="D612" s="47"/>
      <c r="E612" s="48"/>
    </row>
    <row r="613">
      <c r="A613" s="46"/>
      <c r="B613" s="46"/>
      <c r="C613" s="46"/>
      <c r="D613" s="47"/>
      <c r="E613" s="48"/>
    </row>
    <row r="614">
      <c r="A614" s="46"/>
      <c r="B614" s="46"/>
      <c r="C614" s="46"/>
      <c r="D614" s="47"/>
      <c r="E614" s="48"/>
    </row>
    <row r="615">
      <c r="A615" s="46"/>
      <c r="B615" s="46"/>
      <c r="C615" s="46"/>
      <c r="D615" s="47"/>
      <c r="E615" s="48"/>
    </row>
    <row r="616">
      <c r="A616" s="46"/>
      <c r="B616" s="46"/>
      <c r="C616" s="46"/>
      <c r="D616" s="47"/>
      <c r="E616" s="48"/>
    </row>
    <row r="617">
      <c r="A617" s="46"/>
      <c r="B617" s="46"/>
      <c r="C617" s="46"/>
      <c r="D617" s="47"/>
      <c r="E617" s="48"/>
    </row>
    <row r="618">
      <c r="A618" s="46"/>
      <c r="B618" s="46"/>
      <c r="C618" s="46"/>
      <c r="D618" s="47"/>
      <c r="E618" s="48"/>
    </row>
    <row r="619">
      <c r="A619" s="46"/>
      <c r="B619" s="46"/>
      <c r="C619" s="46"/>
      <c r="D619" s="47"/>
      <c r="E619" s="48"/>
    </row>
    <row r="620">
      <c r="A620" s="46"/>
      <c r="B620" s="46"/>
      <c r="C620" s="46"/>
      <c r="D620" s="47"/>
      <c r="E620" s="48"/>
    </row>
    <row r="621">
      <c r="A621" s="46"/>
      <c r="B621" s="46"/>
      <c r="C621" s="46"/>
      <c r="D621" s="47"/>
      <c r="E621" s="48"/>
    </row>
    <row r="622">
      <c r="A622" s="46"/>
      <c r="B622" s="46"/>
      <c r="C622" s="46"/>
      <c r="D622" s="47"/>
      <c r="E622" s="48"/>
    </row>
    <row r="623">
      <c r="A623" s="46"/>
      <c r="B623" s="46"/>
      <c r="C623" s="46"/>
      <c r="D623" s="47"/>
      <c r="E623" s="48"/>
    </row>
    <row r="624">
      <c r="A624" s="46"/>
      <c r="B624" s="46"/>
      <c r="C624" s="46"/>
      <c r="D624" s="47"/>
      <c r="E624" s="48"/>
    </row>
    <row r="625">
      <c r="A625" s="46"/>
      <c r="B625" s="46"/>
      <c r="C625" s="46"/>
      <c r="D625" s="47"/>
      <c r="E625" s="48"/>
    </row>
    <row r="626">
      <c r="A626" s="46"/>
      <c r="B626" s="46"/>
      <c r="C626" s="46"/>
      <c r="D626" s="47"/>
      <c r="E626" s="48"/>
    </row>
    <row r="627">
      <c r="A627" s="46"/>
      <c r="B627" s="46"/>
      <c r="C627" s="46"/>
      <c r="D627" s="47"/>
      <c r="E627" s="48"/>
    </row>
    <row r="628">
      <c r="A628" s="46"/>
      <c r="B628" s="46"/>
      <c r="C628" s="46"/>
      <c r="D628" s="47"/>
      <c r="E628" s="48"/>
    </row>
    <row r="629">
      <c r="A629" s="46"/>
      <c r="B629" s="46"/>
      <c r="C629" s="46"/>
      <c r="D629" s="47"/>
      <c r="E629" s="48"/>
    </row>
    <row r="630">
      <c r="A630" s="46"/>
      <c r="B630" s="46"/>
      <c r="C630" s="46"/>
      <c r="D630" s="47"/>
      <c r="E630" s="48"/>
    </row>
    <row r="631">
      <c r="A631" s="46"/>
      <c r="B631" s="46"/>
      <c r="C631" s="46"/>
      <c r="D631" s="47"/>
      <c r="E631" s="48"/>
    </row>
    <row r="632">
      <c r="A632" s="46"/>
      <c r="B632" s="46"/>
      <c r="C632" s="46"/>
      <c r="D632" s="47"/>
      <c r="E632" s="48"/>
    </row>
    <row r="633">
      <c r="A633" s="46"/>
      <c r="B633" s="46"/>
      <c r="C633" s="46"/>
      <c r="D633" s="47"/>
      <c r="E633" s="48"/>
    </row>
    <row r="634">
      <c r="A634" s="46"/>
      <c r="B634" s="46"/>
      <c r="C634" s="46"/>
      <c r="D634" s="47"/>
      <c r="E634" s="48"/>
    </row>
    <row r="635">
      <c r="A635" s="46"/>
      <c r="B635" s="46"/>
      <c r="C635" s="46"/>
      <c r="D635" s="47"/>
      <c r="E635" s="48"/>
    </row>
    <row r="636">
      <c r="A636" s="46"/>
      <c r="B636" s="46"/>
      <c r="C636" s="46"/>
      <c r="D636" s="47"/>
      <c r="E636" s="48"/>
    </row>
    <row r="637">
      <c r="A637" s="46"/>
      <c r="B637" s="46"/>
      <c r="C637" s="46"/>
      <c r="D637" s="47"/>
      <c r="E637" s="48"/>
    </row>
    <row r="638">
      <c r="A638" s="46"/>
      <c r="B638" s="46"/>
      <c r="C638" s="46"/>
      <c r="D638" s="47"/>
      <c r="E638" s="48"/>
    </row>
    <row r="639">
      <c r="A639" s="46"/>
      <c r="B639" s="46"/>
      <c r="C639" s="46"/>
      <c r="D639" s="47"/>
      <c r="E639" s="48"/>
    </row>
    <row r="640">
      <c r="A640" s="46"/>
      <c r="B640" s="46"/>
      <c r="C640" s="46"/>
      <c r="D640" s="47"/>
      <c r="E640" s="48"/>
    </row>
    <row r="641">
      <c r="A641" s="46"/>
      <c r="B641" s="46"/>
      <c r="C641" s="46"/>
      <c r="D641" s="47"/>
      <c r="E641" s="48"/>
    </row>
    <row r="642">
      <c r="A642" s="46"/>
      <c r="B642" s="46"/>
      <c r="C642" s="46"/>
      <c r="D642" s="47"/>
      <c r="E642" s="48"/>
    </row>
    <row r="643">
      <c r="A643" s="46"/>
      <c r="B643" s="46"/>
      <c r="C643" s="46"/>
      <c r="D643" s="47"/>
      <c r="E643" s="48"/>
    </row>
    <row r="644">
      <c r="A644" s="46"/>
      <c r="B644" s="46"/>
      <c r="C644" s="46"/>
      <c r="D644" s="47"/>
      <c r="E644" s="48"/>
    </row>
    <row r="645">
      <c r="A645" s="46"/>
      <c r="B645" s="46"/>
      <c r="C645" s="46"/>
      <c r="D645" s="47"/>
      <c r="E645" s="48"/>
    </row>
    <row r="646">
      <c r="A646" s="46"/>
      <c r="B646" s="46"/>
      <c r="C646" s="46"/>
      <c r="D646" s="47"/>
      <c r="E646" s="48"/>
    </row>
    <row r="647">
      <c r="A647" s="46"/>
      <c r="B647" s="46"/>
      <c r="C647" s="46"/>
      <c r="D647" s="47"/>
      <c r="E647" s="48"/>
    </row>
    <row r="648">
      <c r="A648" s="46"/>
      <c r="B648" s="46"/>
      <c r="C648" s="46"/>
      <c r="D648" s="47"/>
      <c r="E648" s="48"/>
    </row>
    <row r="649">
      <c r="A649" s="46"/>
      <c r="B649" s="46"/>
      <c r="C649" s="46"/>
      <c r="D649" s="47"/>
      <c r="E649" s="48"/>
    </row>
    <row r="650">
      <c r="A650" s="46"/>
      <c r="B650" s="46"/>
      <c r="C650" s="46"/>
      <c r="D650" s="47"/>
      <c r="E650" s="48"/>
    </row>
    <row r="651">
      <c r="A651" s="46"/>
      <c r="B651" s="46"/>
      <c r="C651" s="46"/>
      <c r="D651" s="47"/>
      <c r="E651" s="48"/>
    </row>
    <row r="652">
      <c r="A652" s="46"/>
      <c r="B652" s="46"/>
      <c r="C652" s="46"/>
      <c r="D652" s="47"/>
      <c r="E652" s="48"/>
    </row>
    <row r="653">
      <c r="A653" s="46"/>
      <c r="B653" s="46"/>
      <c r="C653" s="46"/>
      <c r="D653" s="47"/>
      <c r="E653" s="48"/>
    </row>
    <row r="654">
      <c r="A654" s="46"/>
      <c r="B654" s="46"/>
      <c r="C654" s="46"/>
      <c r="D654" s="47"/>
      <c r="E654" s="48"/>
    </row>
    <row r="655">
      <c r="A655" s="46"/>
      <c r="B655" s="46"/>
      <c r="C655" s="46"/>
      <c r="D655" s="47"/>
      <c r="E655" s="48"/>
    </row>
    <row r="656">
      <c r="A656" s="46"/>
      <c r="B656" s="46"/>
      <c r="C656" s="46"/>
      <c r="D656" s="47"/>
      <c r="E656" s="48"/>
    </row>
    <row r="657">
      <c r="A657" s="46"/>
      <c r="B657" s="46"/>
      <c r="C657" s="46"/>
      <c r="D657" s="47"/>
      <c r="E657" s="48"/>
    </row>
    <row r="658">
      <c r="A658" s="46"/>
      <c r="B658" s="46"/>
      <c r="C658" s="46"/>
      <c r="D658" s="47"/>
      <c r="E658" s="48"/>
    </row>
    <row r="659">
      <c r="A659" s="46"/>
      <c r="B659" s="46"/>
      <c r="C659" s="46"/>
      <c r="D659" s="47"/>
      <c r="E659" s="48"/>
    </row>
    <row r="660">
      <c r="A660" s="46"/>
      <c r="B660" s="46"/>
      <c r="C660" s="46"/>
      <c r="D660" s="47"/>
      <c r="E660" s="48"/>
    </row>
    <row r="661">
      <c r="A661" s="46"/>
      <c r="B661" s="46"/>
      <c r="C661" s="46"/>
      <c r="D661" s="47"/>
      <c r="E661" s="48"/>
    </row>
    <row r="662">
      <c r="A662" s="46"/>
      <c r="B662" s="46"/>
      <c r="C662" s="46"/>
      <c r="D662" s="47"/>
      <c r="E662" s="48"/>
    </row>
    <row r="663">
      <c r="A663" s="46"/>
      <c r="B663" s="46"/>
      <c r="C663" s="46"/>
      <c r="D663" s="47"/>
      <c r="E663" s="48"/>
    </row>
    <row r="664">
      <c r="A664" s="46"/>
      <c r="B664" s="46"/>
      <c r="C664" s="46"/>
      <c r="D664" s="47"/>
      <c r="E664" s="48"/>
    </row>
    <row r="665">
      <c r="A665" s="46"/>
      <c r="B665" s="46"/>
      <c r="C665" s="46"/>
      <c r="D665" s="47"/>
      <c r="E665" s="48"/>
    </row>
    <row r="666">
      <c r="A666" s="46"/>
      <c r="B666" s="46"/>
      <c r="C666" s="46"/>
      <c r="D666" s="47"/>
      <c r="E666" s="48"/>
    </row>
    <row r="667">
      <c r="A667" s="46"/>
      <c r="B667" s="46"/>
      <c r="C667" s="46"/>
      <c r="D667" s="47"/>
      <c r="E667" s="48"/>
    </row>
    <row r="668">
      <c r="A668" s="46"/>
      <c r="B668" s="46"/>
      <c r="C668" s="46"/>
      <c r="D668" s="47"/>
      <c r="E668" s="48"/>
    </row>
    <row r="669">
      <c r="A669" s="46"/>
      <c r="B669" s="46"/>
      <c r="C669" s="46"/>
      <c r="D669" s="47"/>
      <c r="E669" s="48"/>
    </row>
    <row r="670">
      <c r="A670" s="46"/>
      <c r="B670" s="46"/>
      <c r="C670" s="46"/>
      <c r="D670" s="47"/>
      <c r="E670" s="48"/>
    </row>
    <row r="671">
      <c r="A671" s="46"/>
      <c r="B671" s="46"/>
      <c r="C671" s="46"/>
      <c r="D671" s="47"/>
      <c r="E671" s="48"/>
    </row>
    <row r="672">
      <c r="A672" s="46"/>
      <c r="B672" s="46"/>
      <c r="C672" s="46"/>
      <c r="D672" s="47"/>
      <c r="E672" s="48"/>
    </row>
    <row r="673">
      <c r="A673" s="46"/>
      <c r="B673" s="46"/>
      <c r="C673" s="46"/>
      <c r="D673" s="47"/>
      <c r="E673" s="48"/>
    </row>
    <row r="674">
      <c r="A674" s="46"/>
      <c r="B674" s="46"/>
      <c r="C674" s="46"/>
      <c r="D674" s="47"/>
      <c r="E674" s="48"/>
    </row>
    <row r="675">
      <c r="A675" s="46"/>
      <c r="B675" s="46"/>
      <c r="C675" s="46"/>
      <c r="D675" s="47"/>
      <c r="E675" s="48"/>
    </row>
    <row r="676">
      <c r="A676" s="46"/>
      <c r="B676" s="46"/>
      <c r="C676" s="46"/>
      <c r="D676" s="47"/>
      <c r="E676" s="48"/>
    </row>
    <row r="677">
      <c r="A677" s="46"/>
      <c r="B677" s="46"/>
      <c r="C677" s="46"/>
      <c r="D677" s="47"/>
      <c r="E677" s="48"/>
    </row>
    <row r="678">
      <c r="A678" s="46"/>
      <c r="B678" s="46"/>
      <c r="C678" s="46"/>
      <c r="D678" s="47"/>
      <c r="E678" s="48"/>
    </row>
    <row r="679">
      <c r="A679" s="46"/>
      <c r="B679" s="46"/>
      <c r="C679" s="46"/>
      <c r="D679" s="47"/>
      <c r="E679" s="48"/>
    </row>
    <row r="680">
      <c r="A680" s="46"/>
      <c r="B680" s="46"/>
      <c r="C680" s="46"/>
      <c r="D680" s="47"/>
      <c r="E680" s="48"/>
    </row>
    <row r="681">
      <c r="A681" s="46"/>
      <c r="B681" s="46"/>
      <c r="C681" s="46"/>
      <c r="D681" s="47"/>
      <c r="E681" s="48"/>
    </row>
    <row r="682">
      <c r="A682" s="46"/>
      <c r="B682" s="46"/>
      <c r="C682" s="46"/>
      <c r="D682" s="47"/>
      <c r="E682" s="48"/>
    </row>
    <row r="683">
      <c r="A683" s="46"/>
      <c r="B683" s="46"/>
      <c r="C683" s="46"/>
      <c r="D683" s="47"/>
      <c r="E683" s="48"/>
    </row>
    <row r="684">
      <c r="A684" s="46"/>
      <c r="B684" s="46"/>
      <c r="C684" s="46"/>
      <c r="D684" s="47"/>
      <c r="E684" s="48"/>
    </row>
    <row r="685">
      <c r="A685" s="46"/>
      <c r="B685" s="46"/>
      <c r="C685" s="46"/>
      <c r="D685" s="47"/>
      <c r="E685" s="48"/>
    </row>
    <row r="686">
      <c r="A686" s="46"/>
      <c r="B686" s="46"/>
      <c r="C686" s="46"/>
      <c r="D686" s="47"/>
      <c r="E686" s="48"/>
    </row>
    <row r="687">
      <c r="A687" s="46"/>
      <c r="B687" s="46"/>
      <c r="C687" s="46"/>
      <c r="D687" s="47"/>
      <c r="E687" s="48"/>
    </row>
    <row r="688">
      <c r="A688" s="46"/>
      <c r="B688" s="46"/>
      <c r="C688" s="46"/>
      <c r="D688" s="47"/>
      <c r="E688" s="48"/>
    </row>
    <row r="689">
      <c r="A689" s="46"/>
      <c r="B689" s="46"/>
      <c r="C689" s="46"/>
      <c r="D689" s="47"/>
      <c r="E689" s="48"/>
    </row>
    <row r="690">
      <c r="A690" s="46"/>
      <c r="B690" s="46"/>
      <c r="C690" s="46"/>
      <c r="D690" s="47"/>
      <c r="E690" s="48"/>
    </row>
    <row r="691">
      <c r="A691" s="46"/>
      <c r="B691" s="46"/>
      <c r="C691" s="46"/>
      <c r="D691" s="47"/>
      <c r="E691" s="48"/>
    </row>
    <row r="692">
      <c r="A692" s="46"/>
      <c r="B692" s="46"/>
      <c r="C692" s="46"/>
      <c r="D692" s="47"/>
      <c r="E692" s="48"/>
    </row>
    <row r="693">
      <c r="A693" s="46"/>
      <c r="B693" s="46"/>
      <c r="C693" s="46"/>
      <c r="D693" s="47"/>
      <c r="E693" s="48"/>
    </row>
    <row r="694">
      <c r="A694" s="46"/>
      <c r="B694" s="46"/>
      <c r="C694" s="46"/>
      <c r="D694" s="47"/>
      <c r="E694" s="48"/>
    </row>
    <row r="695">
      <c r="A695" s="46"/>
      <c r="B695" s="46"/>
      <c r="C695" s="46"/>
      <c r="D695" s="47"/>
      <c r="E695" s="48"/>
    </row>
    <row r="696">
      <c r="A696" s="46"/>
      <c r="B696" s="46"/>
      <c r="C696" s="46"/>
      <c r="D696" s="47"/>
      <c r="E696" s="48"/>
    </row>
    <row r="697">
      <c r="A697" s="46"/>
      <c r="B697" s="46"/>
      <c r="C697" s="46"/>
      <c r="D697" s="47"/>
      <c r="E697" s="48"/>
    </row>
    <row r="698">
      <c r="A698" s="46"/>
      <c r="B698" s="46"/>
      <c r="C698" s="46"/>
      <c r="D698" s="47"/>
      <c r="E698" s="48"/>
    </row>
    <row r="699">
      <c r="A699" s="46"/>
      <c r="B699" s="46"/>
      <c r="C699" s="46"/>
      <c r="D699" s="47"/>
      <c r="E699" s="48"/>
    </row>
    <row r="700">
      <c r="A700" s="46"/>
      <c r="B700" s="46"/>
      <c r="C700" s="46"/>
      <c r="D700" s="47"/>
      <c r="E700" s="48"/>
    </row>
    <row r="701">
      <c r="A701" s="46"/>
      <c r="B701" s="46"/>
      <c r="C701" s="46"/>
      <c r="D701" s="47"/>
      <c r="E701" s="48"/>
    </row>
    <row r="702">
      <c r="A702" s="46"/>
      <c r="B702" s="46"/>
      <c r="C702" s="46"/>
      <c r="D702" s="47"/>
      <c r="E702" s="48"/>
    </row>
    <row r="703">
      <c r="A703" s="46"/>
      <c r="B703" s="46"/>
      <c r="C703" s="46"/>
      <c r="D703" s="47"/>
      <c r="E703" s="48"/>
    </row>
    <row r="704">
      <c r="A704" s="46"/>
      <c r="B704" s="46"/>
      <c r="C704" s="46"/>
      <c r="D704" s="47"/>
      <c r="E704" s="48"/>
    </row>
    <row r="705">
      <c r="A705" s="46"/>
      <c r="B705" s="46"/>
      <c r="C705" s="46"/>
      <c r="D705" s="47"/>
      <c r="E705" s="48"/>
    </row>
    <row r="706">
      <c r="A706" s="46"/>
      <c r="B706" s="46"/>
      <c r="C706" s="46"/>
      <c r="D706" s="47"/>
      <c r="E706" s="48"/>
    </row>
    <row r="707">
      <c r="A707" s="46"/>
      <c r="B707" s="46"/>
      <c r="C707" s="46"/>
      <c r="D707" s="47"/>
      <c r="E707" s="48"/>
    </row>
    <row r="708">
      <c r="A708" s="46"/>
      <c r="B708" s="46"/>
      <c r="C708" s="46"/>
      <c r="D708" s="47"/>
      <c r="E708" s="48"/>
    </row>
    <row r="709">
      <c r="A709" s="46"/>
      <c r="B709" s="46"/>
      <c r="C709" s="46"/>
      <c r="D709" s="47"/>
      <c r="E709" s="48"/>
    </row>
    <row r="710">
      <c r="A710" s="46"/>
      <c r="B710" s="46"/>
      <c r="C710" s="46"/>
      <c r="D710" s="47"/>
      <c r="E710" s="48"/>
    </row>
    <row r="711">
      <c r="A711" s="46"/>
      <c r="B711" s="46"/>
      <c r="C711" s="46"/>
      <c r="D711" s="47"/>
      <c r="E711" s="48"/>
    </row>
    <row r="712">
      <c r="A712" s="46"/>
      <c r="B712" s="46"/>
      <c r="C712" s="46"/>
      <c r="D712" s="47"/>
      <c r="E712" s="48"/>
    </row>
    <row r="713">
      <c r="A713" s="46"/>
      <c r="B713" s="46"/>
      <c r="C713" s="46"/>
      <c r="D713" s="47"/>
      <c r="E713" s="48"/>
    </row>
    <row r="714">
      <c r="A714" s="46"/>
      <c r="B714" s="46"/>
      <c r="C714" s="46"/>
      <c r="D714" s="47"/>
      <c r="E714" s="48"/>
    </row>
    <row r="715">
      <c r="A715" s="46"/>
      <c r="B715" s="46"/>
      <c r="C715" s="46"/>
      <c r="D715" s="47"/>
      <c r="E715" s="48"/>
    </row>
    <row r="716">
      <c r="A716" s="46"/>
      <c r="B716" s="46"/>
      <c r="C716" s="46"/>
      <c r="D716" s="47"/>
      <c r="E716" s="48"/>
    </row>
    <row r="717">
      <c r="A717" s="46"/>
      <c r="B717" s="46"/>
      <c r="C717" s="46"/>
      <c r="D717" s="47"/>
      <c r="E717" s="48"/>
    </row>
    <row r="718">
      <c r="A718" s="46"/>
      <c r="B718" s="46"/>
      <c r="C718" s="46"/>
      <c r="D718" s="47"/>
      <c r="E718" s="48"/>
    </row>
    <row r="719">
      <c r="A719" s="46"/>
      <c r="B719" s="46"/>
      <c r="C719" s="46"/>
      <c r="D719" s="47"/>
      <c r="E719" s="48"/>
    </row>
    <row r="720">
      <c r="A720" s="46"/>
      <c r="B720" s="46"/>
      <c r="C720" s="46"/>
      <c r="D720" s="47"/>
      <c r="E720" s="48"/>
    </row>
    <row r="721">
      <c r="A721" s="46"/>
      <c r="B721" s="46"/>
      <c r="C721" s="46"/>
      <c r="D721" s="47"/>
      <c r="E721" s="48"/>
    </row>
    <row r="722">
      <c r="A722" s="46"/>
      <c r="B722" s="46"/>
      <c r="C722" s="46"/>
      <c r="D722" s="47"/>
      <c r="E722" s="48"/>
    </row>
    <row r="723">
      <c r="A723" s="46"/>
      <c r="B723" s="46"/>
      <c r="C723" s="46"/>
      <c r="D723" s="47"/>
      <c r="E723" s="48"/>
    </row>
    <row r="724">
      <c r="A724" s="46"/>
      <c r="B724" s="46"/>
      <c r="C724" s="46"/>
      <c r="D724" s="47"/>
      <c r="E724" s="48"/>
    </row>
    <row r="725">
      <c r="A725" s="46"/>
      <c r="B725" s="46"/>
      <c r="C725" s="46"/>
      <c r="D725" s="47"/>
      <c r="E725" s="48"/>
    </row>
    <row r="726">
      <c r="A726" s="46"/>
      <c r="B726" s="46"/>
      <c r="C726" s="46"/>
      <c r="D726" s="47"/>
      <c r="E726" s="48"/>
    </row>
    <row r="727">
      <c r="A727" s="46"/>
      <c r="B727" s="46"/>
      <c r="C727" s="46"/>
      <c r="D727" s="47"/>
      <c r="E727" s="48"/>
    </row>
    <row r="728">
      <c r="A728" s="46"/>
      <c r="B728" s="46"/>
      <c r="C728" s="46"/>
      <c r="D728" s="47"/>
      <c r="E728" s="48"/>
    </row>
    <row r="729">
      <c r="A729" s="46"/>
      <c r="B729" s="46"/>
      <c r="C729" s="46"/>
      <c r="D729" s="47"/>
      <c r="E729" s="48"/>
    </row>
    <row r="730">
      <c r="A730" s="46"/>
      <c r="B730" s="46"/>
      <c r="C730" s="46"/>
      <c r="D730" s="47"/>
      <c r="E730" s="48"/>
    </row>
    <row r="731">
      <c r="A731" s="46"/>
      <c r="B731" s="46"/>
      <c r="C731" s="46"/>
      <c r="D731" s="47"/>
      <c r="E731" s="48"/>
    </row>
    <row r="732">
      <c r="A732" s="46"/>
      <c r="B732" s="46"/>
      <c r="C732" s="46"/>
      <c r="D732" s="47"/>
      <c r="E732" s="48"/>
    </row>
    <row r="733">
      <c r="A733" s="46"/>
      <c r="B733" s="46"/>
      <c r="C733" s="46"/>
      <c r="D733" s="47"/>
      <c r="E733" s="48"/>
    </row>
    <row r="734">
      <c r="A734" s="46"/>
      <c r="B734" s="46"/>
      <c r="C734" s="46"/>
      <c r="D734" s="47"/>
      <c r="E734" s="48"/>
    </row>
    <row r="735">
      <c r="A735" s="46"/>
      <c r="B735" s="46"/>
      <c r="C735" s="46"/>
      <c r="D735" s="47"/>
      <c r="E735" s="48"/>
    </row>
    <row r="736">
      <c r="A736" s="46"/>
      <c r="B736" s="46"/>
      <c r="C736" s="46"/>
      <c r="D736" s="47"/>
      <c r="E736" s="48"/>
    </row>
    <row r="737">
      <c r="A737" s="46"/>
      <c r="B737" s="46"/>
      <c r="C737" s="46"/>
      <c r="D737" s="47"/>
      <c r="E737" s="48"/>
    </row>
    <row r="738">
      <c r="A738" s="46"/>
      <c r="B738" s="46"/>
      <c r="C738" s="46"/>
      <c r="D738" s="47"/>
      <c r="E738" s="48"/>
    </row>
    <row r="739">
      <c r="A739" s="46"/>
      <c r="B739" s="46"/>
      <c r="C739" s="46"/>
      <c r="D739" s="47"/>
      <c r="E739" s="48"/>
    </row>
    <row r="740">
      <c r="A740" s="46"/>
      <c r="B740" s="46"/>
      <c r="C740" s="46"/>
      <c r="D740" s="47"/>
      <c r="E740" s="48"/>
    </row>
    <row r="741">
      <c r="A741" s="46"/>
      <c r="B741" s="46"/>
      <c r="C741" s="46"/>
      <c r="D741" s="47"/>
      <c r="E741" s="48"/>
    </row>
    <row r="742">
      <c r="A742" s="46"/>
      <c r="B742" s="46"/>
      <c r="C742" s="46"/>
      <c r="D742" s="47"/>
      <c r="E742" s="48"/>
    </row>
    <row r="743">
      <c r="A743" s="46"/>
      <c r="B743" s="46"/>
      <c r="C743" s="46"/>
      <c r="D743" s="47"/>
      <c r="E743" s="48"/>
    </row>
    <row r="744">
      <c r="A744" s="46"/>
      <c r="B744" s="46"/>
      <c r="C744" s="46"/>
      <c r="D744" s="47"/>
      <c r="E744" s="48"/>
    </row>
    <row r="745">
      <c r="A745" s="46"/>
      <c r="B745" s="46"/>
      <c r="C745" s="46"/>
      <c r="D745" s="47"/>
      <c r="E745" s="48"/>
    </row>
    <row r="746">
      <c r="A746" s="46"/>
      <c r="B746" s="46"/>
      <c r="C746" s="46"/>
      <c r="D746" s="47"/>
      <c r="E746" s="48"/>
    </row>
    <row r="747">
      <c r="A747" s="46"/>
      <c r="B747" s="46"/>
      <c r="C747" s="46"/>
      <c r="D747" s="47"/>
      <c r="E747" s="48"/>
    </row>
    <row r="748">
      <c r="A748" s="46"/>
      <c r="B748" s="46"/>
      <c r="C748" s="46"/>
      <c r="D748" s="47"/>
      <c r="E748" s="48"/>
    </row>
    <row r="749">
      <c r="A749" s="46"/>
      <c r="B749" s="46"/>
      <c r="C749" s="46"/>
      <c r="D749" s="47"/>
      <c r="E749" s="48"/>
    </row>
    <row r="750">
      <c r="A750" s="46"/>
      <c r="B750" s="46"/>
      <c r="C750" s="46"/>
      <c r="D750" s="47"/>
      <c r="E750" s="48"/>
    </row>
    <row r="751">
      <c r="A751" s="46"/>
      <c r="B751" s="46"/>
      <c r="C751" s="46"/>
      <c r="D751" s="47"/>
      <c r="E751" s="48"/>
    </row>
    <row r="752">
      <c r="A752" s="46"/>
      <c r="B752" s="46"/>
      <c r="C752" s="46"/>
      <c r="D752" s="47"/>
      <c r="E752" s="48"/>
    </row>
    <row r="753">
      <c r="A753" s="46"/>
      <c r="B753" s="46"/>
      <c r="C753" s="46"/>
      <c r="D753" s="47"/>
      <c r="E753" s="48"/>
    </row>
    <row r="754">
      <c r="A754" s="46"/>
      <c r="B754" s="46"/>
      <c r="C754" s="46"/>
      <c r="D754" s="47"/>
      <c r="E754" s="48"/>
    </row>
    <row r="755">
      <c r="A755" s="46"/>
      <c r="B755" s="46"/>
      <c r="C755" s="46"/>
      <c r="D755" s="47"/>
      <c r="E755" s="48"/>
    </row>
    <row r="756">
      <c r="A756" s="46"/>
      <c r="B756" s="46"/>
      <c r="C756" s="46"/>
      <c r="D756" s="47"/>
      <c r="E756" s="48"/>
    </row>
    <row r="757">
      <c r="A757" s="46"/>
      <c r="B757" s="46"/>
      <c r="C757" s="46"/>
      <c r="D757" s="47"/>
      <c r="E757" s="48"/>
    </row>
    <row r="758">
      <c r="A758" s="46"/>
      <c r="B758" s="46"/>
      <c r="C758" s="46"/>
      <c r="D758" s="47"/>
      <c r="E758" s="48"/>
    </row>
    <row r="759">
      <c r="A759" s="46"/>
      <c r="B759" s="46"/>
      <c r="C759" s="46"/>
      <c r="D759" s="47"/>
      <c r="E759" s="48"/>
    </row>
    <row r="760">
      <c r="A760" s="46"/>
      <c r="B760" s="46"/>
      <c r="C760" s="46"/>
      <c r="D760" s="47"/>
      <c r="E760" s="48"/>
    </row>
    <row r="761">
      <c r="A761" s="46"/>
      <c r="B761" s="46"/>
      <c r="C761" s="46"/>
      <c r="D761" s="47"/>
      <c r="E761" s="48"/>
    </row>
    <row r="762">
      <c r="A762" s="46"/>
      <c r="B762" s="46"/>
      <c r="C762" s="46"/>
      <c r="D762" s="47"/>
      <c r="E762" s="48"/>
    </row>
    <row r="763">
      <c r="A763" s="46"/>
      <c r="B763" s="46"/>
      <c r="C763" s="46"/>
      <c r="D763" s="47"/>
      <c r="E763" s="48"/>
    </row>
    <row r="764">
      <c r="A764" s="46"/>
      <c r="B764" s="46"/>
      <c r="C764" s="46"/>
      <c r="D764" s="47"/>
      <c r="E764" s="48"/>
    </row>
    <row r="765">
      <c r="A765" s="46"/>
      <c r="B765" s="46"/>
      <c r="C765" s="46"/>
      <c r="D765" s="47"/>
      <c r="E765" s="48"/>
    </row>
    <row r="766">
      <c r="A766" s="46"/>
      <c r="B766" s="46"/>
      <c r="C766" s="46"/>
      <c r="D766" s="47"/>
      <c r="E766" s="48"/>
    </row>
    <row r="767">
      <c r="A767" s="46"/>
      <c r="B767" s="46"/>
      <c r="C767" s="46"/>
      <c r="D767" s="47"/>
      <c r="E767" s="48"/>
    </row>
    <row r="768">
      <c r="A768" s="46"/>
      <c r="B768" s="46"/>
      <c r="C768" s="46"/>
      <c r="D768" s="47"/>
      <c r="E768" s="48"/>
    </row>
    <row r="769">
      <c r="A769" s="46"/>
      <c r="B769" s="46"/>
      <c r="C769" s="46"/>
      <c r="D769" s="47"/>
      <c r="E769" s="48"/>
    </row>
    <row r="770">
      <c r="A770" s="46"/>
      <c r="B770" s="46"/>
      <c r="C770" s="46"/>
      <c r="D770" s="47"/>
      <c r="E770" s="48"/>
    </row>
    <row r="771">
      <c r="A771" s="46"/>
      <c r="B771" s="46"/>
      <c r="C771" s="46"/>
      <c r="D771" s="47"/>
      <c r="E771" s="48"/>
    </row>
    <row r="772">
      <c r="A772" s="46"/>
      <c r="B772" s="46"/>
      <c r="C772" s="46"/>
      <c r="D772" s="47"/>
      <c r="E772" s="48"/>
    </row>
    <row r="773">
      <c r="A773" s="46"/>
      <c r="B773" s="46"/>
      <c r="C773" s="46"/>
      <c r="D773" s="47"/>
      <c r="E773" s="48"/>
    </row>
    <row r="774">
      <c r="A774" s="46"/>
      <c r="B774" s="46"/>
      <c r="C774" s="46"/>
      <c r="D774" s="47"/>
      <c r="E774" s="48"/>
    </row>
    <row r="775">
      <c r="A775" s="46"/>
      <c r="B775" s="46"/>
      <c r="C775" s="46"/>
      <c r="D775" s="47"/>
      <c r="E775" s="48"/>
    </row>
    <row r="776">
      <c r="A776" s="46"/>
      <c r="B776" s="46"/>
      <c r="C776" s="46"/>
      <c r="D776" s="47"/>
      <c r="E776" s="48"/>
    </row>
    <row r="777">
      <c r="A777" s="46"/>
      <c r="B777" s="46"/>
      <c r="C777" s="46"/>
      <c r="D777" s="47"/>
      <c r="E777" s="48"/>
    </row>
    <row r="778">
      <c r="A778" s="46"/>
      <c r="B778" s="46"/>
      <c r="C778" s="46"/>
      <c r="D778" s="47"/>
      <c r="E778" s="48"/>
    </row>
    <row r="779">
      <c r="A779" s="46"/>
      <c r="B779" s="46"/>
      <c r="C779" s="46"/>
      <c r="D779" s="47"/>
      <c r="E779" s="48"/>
    </row>
    <row r="780">
      <c r="A780" s="46"/>
      <c r="B780" s="46"/>
      <c r="C780" s="46"/>
      <c r="D780" s="47"/>
      <c r="E780" s="48"/>
    </row>
    <row r="781">
      <c r="A781" s="46"/>
      <c r="B781" s="46"/>
      <c r="C781" s="46"/>
      <c r="D781" s="47"/>
      <c r="E781" s="48"/>
    </row>
    <row r="782">
      <c r="A782" s="46"/>
      <c r="B782" s="46"/>
      <c r="C782" s="46"/>
      <c r="D782" s="47"/>
      <c r="E782" s="48"/>
    </row>
    <row r="783">
      <c r="A783" s="46"/>
      <c r="B783" s="46"/>
      <c r="C783" s="46"/>
      <c r="D783" s="47"/>
      <c r="E783" s="48"/>
    </row>
    <row r="784">
      <c r="A784" s="46"/>
      <c r="B784" s="46"/>
      <c r="C784" s="46"/>
      <c r="D784" s="47"/>
      <c r="E784" s="48"/>
    </row>
    <row r="785">
      <c r="A785" s="46"/>
      <c r="B785" s="46"/>
      <c r="C785" s="46"/>
      <c r="D785" s="47"/>
      <c r="E785" s="48"/>
    </row>
    <row r="786">
      <c r="A786" s="46"/>
      <c r="B786" s="46"/>
      <c r="C786" s="46"/>
      <c r="D786" s="47"/>
      <c r="E786" s="48"/>
    </row>
    <row r="787">
      <c r="A787" s="46"/>
      <c r="B787" s="46"/>
      <c r="C787" s="46"/>
      <c r="D787" s="47"/>
      <c r="E787" s="48"/>
    </row>
    <row r="788">
      <c r="A788" s="46"/>
      <c r="B788" s="46"/>
      <c r="C788" s="46"/>
      <c r="D788" s="47"/>
      <c r="E788" s="48"/>
    </row>
    <row r="789">
      <c r="A789" s="46"/>
      <c r="B789" s="46"/>
      <c r="C789" s="46"/>
      <c r="D789" s="47"/>
      <c r="E789" s="48"/>
    </row>
    <row r="790">
      <c r="A790" s="46"/>
      <c r="B790" s="46"/>
      <c r="C790" s="46"/>
      <c r="D790" s="47"/>
      <c r="E790" s="48"/>
    </row>
    <row r="791">
      <c r="A791" s="46"/>
      <c r="B791" s="46"/>
      <c r="C791" s="46"/>
      <c r="D791" s="47"/>
      <c r="E791" s="48"/>
    </row>
    <row r="792">
      <c r="A792" s="46"/>
      <c r="B792" s="46"/>
      <c r="C792" s="46"/>
      <c r="D792" s="47"/>
      <c r="E792" s="48"/>
    </row>
    <row r="793">
      <c r="A793" s="46"/>
      <c r="B793" s="46"/>
      <c r="C793" s="46"/>
      <c r="D793" s="47"/>
      <c r="E793" s="48"/>
    </row>
    <row r="794">
      <c r="A794" s="46"/>
      <c r="B794" s="46"/>
      <c r="C794" s="46"/>
      <c r="D794" s="47"/>
      <c r="E794" s="48"/>
    </row>
    <row r="795">
      <c r="A795" s="46"/>
      <c r="B795" s="46"/>
      <c r="C795" s="46"/>
      <c r="D795" s="47"/>
      <c r="E795" s="48"/>
    </row>
    <row r="796">
      <c r="A796" s="46"/>
      <c r="B796" s="46"/>
      <c r="C796" s="46"/>
      <c r="D796" s="47"/>
      <c r="E796" s="48"/>
    </row>
    <row r="797">
      <c r="A797" s="46"/>
      <c r="B797" s="46"/>
      <c r="C797" s="46"/>
      <c r="D797" s="47"/>
      <c r="E797" s="48"/>
    </row>
    <row r="798">
      <c r="A798" s="46"/>
      <c r="B798" s="46"/>
      <c r="C798" s="46"/>
      <c r="D798" s="47"/>
      <c r="E798" s="48"/>
    </row>
    <row r="799">
      <c r="A799" s="46"/>
      <c r="B799" s="46"/>
      <c r="C799" s="46"/>
      <c r="D799" s="47"/>
      <c r="E799" s="48"/>
    </row>
    <row r="800">
      <c r="A800" s="46"/>
      <c r="B800" s="46"/>
      <c r="C800" s="46"/>
      <c r="D800" s="47"/>
      <c r="E800" s="48"/>
    </row>
    <row r="801">
      <c r="A801" s="46"/>
      <c r="B801" s="46"/>
      <c r="C801" s="46"/>
      <c r="D801" s="47"/>
      <c r="E801" s="48"/>
    </row>
    <row r="802">
      <c r="A802" s="46"/>
      <c r="B802" s="46"/>
      <c r="C802" s="46"/>
      <c r="D802" s="47"/>
      <c r="E802" s="48"/>
    </row>
    <row r="803">
      <c r="A803" s="46"/>
      <c r="B803" s="46"/>
      <c r="C803" s="46"/>
      <c r="D803" s="47"/>
      <c r="E803" s="48"/>
    </row>
    <row r="804">
      <c r="A804" s="46"/>
      <c r="B804" s="46"/>
      <c r="C804" s="46"/>
      <c r="D804" s="47"/>
      <c r="E804" s="48"/>
    </row>
    <row r="805">
      <c r="A805" s="46"/>
      <c r="B805" s="46"/>
      <c r="C805" s="46"/>
      <c r="D805" s="47"/>
      <c r="E805" s="48"/>
    </row>
    <row r="806">
      <c r="A806" s="46"/>
      <c r="B806" s="46"/>
      <c r="C806" s="46"/>
      <c r="D806" s="47"/>
      <c r="E806" s="48"/>
    </row>
    <row r="807">
      <c r="A807" s="46"/>
      <c r="B807" s="46"/>
      <c r="C807" s="46"/>
      <c r="D807" s="47"/>
      <c r="E807" s="48"/>
    </row>
    <row r="808">
      <c r="A808" s="46"/>
      <c r="B808" s="46"/>
      <c r="C808" s="46"/>
      <c r="D808" s="47"/>
      <c r="E808" s="48"/>
    </row>
    <row r="809">
      <c r="A809" s="46"/>
      <c r="B809" s="46"/>
      <c r="C809" s="46"/>
      <c r="D809" s="47"/>
      <c r="E809" s="48"/>
    </row>
    <row r="810">
      <c r="A810" s="46"/>
      <c r="B810" s="46"/>
      <c r="C810" s="46"/>
      <c r="D810" s="47"/>
      <c r="E810" s="48"/>
    </row>
    <row r="811">
      <c r="A811" s="46"/>
      <c r="B811" s="46"/>
      <c r="C811" s="46"/>
      <c r="D811" s="47"/>
      <c r="E811" s="48"/>
    </row>
    <row r="812">
      <c r="A812" s="46"/>
      <c r="B812" s="46"/>
      <c r="C812" s="46"/>
      <c r="D812" s="47"/>
      <c r="E812" s="48"/>
    </row>
    <row r="813">
      <c r="A813" s="46"/>
      <c r="B813" s="46"/>
      <c r="C813" s="46"/>
      <c r="D813" s="47"/>
      <c r="E813" s="48"/>
    </row>
    <row r="814">
      <c r="A814" s="46"/>
      <c r="B814" s="46"/>
      <c r="C814" s="46"/>
      <c r="D814" s="47"/>
      <c r="E814" s="48"/>
    </row>
    <row r="815">
      <c r="A815" s="46"/>
      <c r="B815" s="46"/>
      <c r="C815" s="46"/>
      <c r="D815" s="47"/>
      <c r="E815" s="48"/>
    </row>
    <row r="816">
      <c r="A816" s="46"/>
      <c r="B816" s="46"/>
      <c r="C816" s="46"/>
      <c r="D816" s="47"/>
      <c r="E816" s="48"/>
    </row>
    <row r="817">
      <c r="A817" s="46"/>
      <c r="B817" s="46"/>
      <c r="C817" s="46"/>
      <c r="D817" s="47"/>
      <c r="E817" s="48"/>
    </row>
    <row r="818">
      <c r="A818" s="46"/>
      <c r="B818" s="46"/>
      <c r="C818" s="46"/>
      <c r="D818" s="47"/>
      <c r="E818" s="48"/>
    </row>
    <row r="819">
      <c r="A819" s="46"/>
      <c r="B819" s="46"/>
      <c r="C819" s="46"/>
      <c r="D819" s="47"/>
      <c r="E819" s="48"/>
    </row>
    <row r="820">
      <c r="A820" s="46"/>
      <c r="B820" s="46"/>
      <c r="C820" s="46"/>
      <c r="D820" s="47"/>
      <c r="E820" s="48"/>
    </row>
    <row r="821">
      <c r="A821" s="46"/>
      <c r="B821" s="46"/>
      <c r="C821" s="46"/>
      <c r="D821" s="47"/>
      <c r="E821" s="48"/>
    </row>
    <row r="822">
      <c r="A822" s="46"/>
      <c r="B822" s="46"/>
      <c r="C822" s="46"/>
      <c r="D822" s="47"/>
      <c r="E822" s="48"/>
    </row>
    <row r="823">
      <c r="A823" s="46"/>
      <c r="B823" s="46"/>
      <c r="C823" s="46"/>
      <c r="D823" s="47"/>
      <c r="E823" s="48"/>
    </row>
    <row r="824">
      <c r="A824" s="46"/>
      <c r="B824" s="46"/>
      <c r="C824" s="46"/>
      <c r="D824" s="47"/>
      <c r="E824" s="48"/>
    </row>
    <row r="825">
      <c r="A825" s="46"/>
      <c r="B825" s="46"/>
      <c r="C825" s="46"/>
      <c r="D825" s="47"/>
      <c r="E825" s="48"/>
    </row>
    <row r="826">
      <c r="A826" s="46"/>
      <c r="B826" s="46"/>
      <c r="C826" s="46"/>
      <c r="D826" s="47"/>
      <c r="E826" s="48"/>
    </row>
    <row r="827">
      <c r="A827" s="46"/>
      <c r="B827" s="46"/>
      <c r="C827" s="46"/>
      <c r="D827" s="47"/>
      <c r="E827" s="48"/>
    </row>
    <row r="828">
      <c r="A828" s="46"/>
      <c r="B828" s="46"/>
      <c r="C828" s="46"/>
      <c r="D828" s="47"/>
      <c r="E828" s="48"/>
    </row>
    <row r="829">
      <c r="A829" s="46"/>
      <c r="B829" s="46"/>
      <c r="C829" s="46"/>
      <c r="D829" s="47"/>
      <c r="E829" s="48"/>
    </row>
    <row r="830">
      <c r="A830" s="46"/>
      <c r="B830" s="46"/>
      <c r="C830" s="46"/>
      <c r="D830" s="47"/>
      <c r="E830" s="48"/>
    </row>
    <row r="831">
      <c r="A831" s="46"/>
      <c r="B831" s="46"/>
      <c r="C831" s="46"/>
      <c r="D831" s="47"/>
      <c r="E831" s="48"/>
    </row>
    <row r="832">
      <c r="A832" s="46"/>
      <c r="B832" s="46"/>
      <c r="C832" s="46"/>
      <c r="D832" s="47"/>
      <c r="E832" s="48"/>
    </row>
    <row r="833">
      <c r="A833" s="46"/>
      <c r="B833" s="46"/>
      <c r="C833" s="46"/>
      <c r="D833" s="47"/>
      <c r="E833" s="48"/>
    </row>
    <row r="834">
      <c r="A834" s="46"/>
      <c r="B834" s="46"/>
      <c r="C834" s="46"/>
      <c r="D834" s="47"/>
      <c r="E834" s="48"/>
    </row>
    <row r="835">
      <c r="A835" s="46"/>
      <c r="B835" s="46"/>
      <c r="C835" s="46"/>
      <c r="D835" s="47"/>
      <c r="E835" s="48"/>
    </row>
    <row r="836">
      <c r="A836" s="46"/>
      <c r="B836" s="46"/>
      <c r="C836" s="46"/>
      <c r="D836" s="47"/>
      <c r="E836" s="48"/>
    </row>
    <row r="837">
      <c r="A837" s="46"/>
      <c r="B837" s="46"/>
      <c r="C837" s="46"/>
      <c r="D837" s="47"/>
      <c r="E837" s="48"/>
    </row>
    <row r="838">
      <c r="A838" s="46"/>
      <c r="B838" s="46"/>
      <c r="C838" s="46"/>
      <c r="D838" s="47"/>
      <c r="E838" s="48"/>
    </row>
    <row r="839">
      <c r="A839" s="46"/>
      <c r="B839" s="46"/>
      <c r="C839" s="46"/>
      <c r="D839" s="47"/>
      <c r="E839" s="48"/>
    </row>
    <row r="840">
      <c r="A840" s="46"/>
      <c r="B840" s="46"/>
      <c r="C840" s="46"/>
      <c r="D840" s="47"/>
      <c r="E840" s="48"/>
    </row>
    <row r="841">
      <c r="A841" s="46"/>
      <c r="B841" s="46"/>
      <c r="C841" s="46"/>
      <c r="D841" s="47"/>
      <c r="E841" s="48"/>
    </row>
    <row r="842">
      <c r="A842" s="46"/>
      <c r="B842" s="46"/>
      <c r="C842" s="46"/>
      <c r="D842" s="47"/>
      <c r="E842" s="48"/>
    </row>
    <row r="843">
      <c r="A843" s="46"/>
      <c r="B843" s="46"/>
      <c r="C843" s="46"/>
      <c r="D843" s="47"/>
      <c r="E843" s="48"/>
    </row>
    <row r="844">
      <c r="A844" s="46"/>
      <c r="B844" s="46"/>
      <c r="C844" s="46"/>
      <c r="D844" s="47"/>
      <c r="E844" s="48"/>
    </row>
    <row r="845">
      <c r="A845" s="46"/>
      <c r="B845" s="46"/>
      <c r="C845" s="46"/>
      <c r="D845" s="47"/>
      <c r="E845" s="48"/>
    </row>
    <row r="846">
      <c r="A846" s="46"/>
      <c r="B846" s="46"/>
      <c r="C846" s="46"/>
      <c r="D846" s="47"/>
      <c r="E846" s="48"/>
    </row>
    <row r="847">
      <c r="A847" s="46"/>
      <c r="B847" s="46"/>
      <c r="C847" s="46"/>
      <c r="D847" s="47"/>
      <c r="E847" s="48"/>
    </row>
    <row r="848">
      <c r="A848" s="46"/>
      <c r="B848" s="46"/>
      <c r="C848" s="46"/>
      <c r="D848" s="47"/>
      <c r="E848" s="48"/>
    </row>
    <row r="849">
      <c r="A849" s="46"/>
      <c r="B849" s="46"/>
      <c r="C849" s="46"/>
      <c r="D849" s="47"/>
      <c r="E849" s="48"/>
    </row>
    <row r="850">
      <c r="A850" s="46"/>
      <c r="B850" s="46"/>
      <c r="C850" s="46"/>
      <c r="D850" s="47"/>
      <c r="E850" s="48"/>
    </row>
    <row r="851">
      <c r="A851" s="46"/>
      <c r="B851" s="46"/>
      <c r="C851" s="46"/>
      <c r="D851" s="47"/>
      <c r="E851" s="48"/>
    </row>
    <row r="852">
      <c r="A852" s="46"/>
      <c r="B852" s="46"/>
      <c r="C852" s="46"/>
      <c r="D852" s="47"/>
      <c r="E852" s="48"/>
    </row>
    <row r="853">
      <c r="A853" s="46"/>
      <c r="B853" s="46"/>
      <c r="C853" s="46"/>
      <c r="D853" s="47"/>
      <c r="E853" s="48"/>
    </row>
    <row r="854">
      <c r="A854" s="46"/>
      <c r="B854" s="46"/>
      <c r="C854" s="46"/>
      <c r="D854" s="47"/>
      <c r="E854" s="48"/>
    </row>
    <row r="855">
      <c r="A855" s="46"/>
      <c r="B855" s="46"/>
      <c r="C855" s="46"/>
      <c r="D855" s="47"/>
      <c r="E855" s="48"/>
    </row>
    <row r="856">
      <c r="A856" s="46"/>
      <c r="B856" s="46"/>
      <c r="C856" s="46"/>
      <c r="D856" s="47"/>
      <c r="E856" s="48"/>
    </row>
    <row r="857">
      <c r="A857" s="46"/>
      <c r="B857" s="46"/>
      <c r="C857" s="46"/>
      <c r="D857" s="47"/>
      <c r="E857" s="48"/>
    </row>
    <row r="858">
      <c r="A858" s="46"/>
      <c r="B858" s="46"/>
      <c r="C858" s="46"/>
      <c r="D858" s="47"/>
      <c r="E858" s="48"/>
    </row>
    <row r="859">
      <c r="A859" s="46"/>
      <c r="B859" s="46"/>
      <c r="C859" s="46"/>
      <c r="D859" s="47"/>
      <c r="E859" s="48"/>
    </row>
    <row r="860">
      <c r="A860" s="46"/>
      <c r="B860" s="46"/>
      <c r="C860" s="46"/>
      <c r="D860" s="47"/>
      <c r="E860" s="48"/>
    </row>
    <row r="861">
      <c r="A861" s="46"/>
      <c r="B861" s="46"/>
      <c r="C861" s="46"/>
      <c r="D861" s="47"/>
      <c r="E861" s="48"/>
    </row>
    <row r="862">
      <c r="A862" s="46"/>
      <c r="B862" s="46"/>
      <c r="C862" s="46"/>
      <c r="D862" s="47"/>
      <c r="E862" s="48"/>
    </row>
    <row r="863">
      <c r="A863" s="46"/>
      <c r="B863" s="46"/>
      <c r="C863" s="46"/>
      <c r="D863" s="47"/>
      <c r="E863" s="48"/>
    </row>
    <row r="864">
      <c r="A864" s="46"/>
      <c r="B864" s="46"/>
      <c r="C864" s="46"/>
      <c r="D864" s="47"/>
      <c r="E864" s="48"/>
    </row>
    <row r="865">
      <c r="A865" s="46"/>
      <c r="B865" s="46"/>
      <c r="C865" s="46"/>
      <c r="D865" s="47"/>
      <c r="E865" s="48"/>
    </row>
    <row r="866">
      <c r="A866" s="46"/>
      <c r="B866" s="46"/>
      <c r="C866" s="46"/>
      <c r="D866" s="47"/>
      <c r="E866" s="48"/>
    </row>
    <row r="867">
      <c r="A867" s="46"/>
      <c r="B867" s="46"/>
      <c r="C867" s="46"/>
      <c r="D867" s="47"/>
      <c r="E867" s="48"/>
    </row>
    <row r="868">
      <c r="A868" s="46"/>
      <c r="B868" s="46"/>
      <c r="C868" s="46"/>
      <c r="D868" s="47"/>
      <c r="E868" s="48"/>
    </row>
    <row r="869">
      <c r="A869" s="46"/>
      <c r="B869" s="46"/>
      <c r="C869" s="46"/>
      <c r="D869" s="47"/>
      <c r="E869" s="48"/>
    </row>
    <row r="870">
      <c r="A870" s="46"/>
      <c r="B870" s="46"/>
      <c r="C870" s="46"/>
      <c r="D870" s="47"/>
      <c r="E870" s="48"/>
    </row>
    <row r="871">
      <c r="A871" s="46"/>
      <c r="B871" s="46"/>
      <c r="C871" s="46"/>
      <c r="D871" s="47"/>
      <c r="E871" s="48"/>
    </row>
    <row r="872">
      <c r="A872" s="46"/>
      <c r="B872" s="46"/>
      <c r="C872" s="46"/>
      <c r="D872" s="47"/>
      <c r="E872" s="48"/>
    </row>
    <row r="873">
      <c r="A873" s="46"/>
      <c r="B873" s="46"/>
      <c r="C873" s="46"/>
      <c r="D873" s="47"/>
      <c r="E873" s="48"/>
    </row>
    <row r="874">
      <c r="A874" s="46"/>
      <c r="B874" s="46"/>
      <c r="C874" s="46"/>
      <c r="D874" s="47"/>
      <c r="E874" s="48"/>
    </row>
    <row r="875">
      <c r="A875" s="46"/>
      <c r="B875" s="46"/>
      <c r="C875" s="46"/>
      <c r="D875" s="47"/>
      <c r="E875" s="48"/>
    </row>
    <row r="876">
      <c r="A876" s="46"/>
      <c r="B876" s="46"/>
      <c r="C876" s="46"/>
      <c r="D876" s="47"/>
      <c r="E876" s="48"/>
    </row>
    <row r="877">
      <c r="A877" s="46"/>
      <c r="B877" s="46"/>
      <c r="C877" s="46"/>
      <c r="D877" s="47"/>
      <c r="E877" s="48"/>
    </row>
    <row r="878">
      <c r="A878" s="46"/>
      <c r="B878" s="46"/>
      <c r="C878" s="46"/>
      <c r="D878" s="47"/>
      <c r="E878" s="48"/>
    </row>
    <row r="879">
      <c r="A879" s="46"/>
      <c r="B879" s="46"/>
      <c r="C879" s="46"/>
      <c r="D879" s="47"/>
      <c r="E879" s="48"/>
    </row>
    <row r="880">
      <c r="A880" s="46"/>
      <c r="B880" s="46"/>
      <c r="C880" s="46"/>
      <c r="D880" s="47"/>
      <c r="E880" s="48"/>
    </row>
    <row r="881">
      <c r="A881" s="46"/>
      <c r="B881" s="46"/>
      <c r="C881" s="46"/>
      <c r="D881" s="47"/>
      <c r="E881" s="48"/>
    </row>
    <row r="882">
      <c r="A882" s="46"/>
      <c r="B882" s="46"/>
      <c r="C882" s="46"/>
      <c r="D882" s="47"/>
      <c r="E882" s="48"/>
    </row>
    <row r="883">
      <c r="A883" s="46"/>
      <c r="B883" s="46"/>
      <c r="C883" s="46"/>
      <c r="D883" s="47"/>
      <c r="E883" s="48"/>
    </row>
    <row r="884">
      <c r="A884" s="46"/>
      <c r="B884" s="46"/>
      <c r="C884" s="46"/>
      <c r="D884" s="47"/>
      <c r="E884" s="48"/>
    </row>
    <row r="885">
      <c r="A885" s="46"/>
      <c r="B885" s="46"/>
      <c r="C885" s="46"/>
      <c r="D885" s="47"/>
      <c r="E885" s="48"/>
    </row>
    <row r="886">
      <c r="A886" s="46"/>
      <c r="B886" s="46"/>
      <c r="C886" s="46"/>
      <c r="D886" s="47"/>
      <c r="E886" s="48"/>
    </row>
    <row r="887">
      <c r="A887" s="46"/>
      <c r="B887" s="46"/>
      <c r="C887" s="46"/>
      <c r="D887" s="47"/>
      <c r="E887" s="48"/>
    </row>
    <row r="888">
      <c r="A888" s="46"/>
      <c r="B888" s="46"/>
      <c r="C888" s="46"/>
      <c r="D888" s="47"/>
      <c r="E888" s="48"/>
    </row>
    <row r="889">
      <c r="A889" s="46"/>
      <c r="B889" s="46"/>
      <c r="C889" s="46"/>
      <c r="D889" s="47"/>
      <c r="E889" s="48"/>
    </row>
    <row r="890">
      <c r="A890" s="46"/>
      <c r="B890" s="46"/>
      <c r="C890" s="46"/>
      <c r="D890" s="47"/>
      <c r="E890" s="48"/>
    </row>
    <row r="891">
      <c r="A891" s="46"/>
      <c r="B891" s="46"/>
      <c r="C891" s="46"/>
      <c r="D891" s="47"/>
      <c r="E891" s="48"/>
    </row>
    <row r="892">
      <c r="A892" s="46"/>
      <c r="B892" s="46"/>
      <c r="C892" s="46"/>
      <c r="D892" s="47"/>
      <c r="E892" s="48"/>
    </row>
    <row r="893">
      <c r="A893" s="46"/>
      <c r="B893" s="46"/>
      <c r="C893" s="46"/>
      <c r="D893" s="47"/>
      <c r="E893" s="48"/>
    </row>
    <row r="894">
      <c r="A894" s="46"/>
      <c r="B894" s="46"/>
      <c r="C894" s="46"/>
      <c r="D894" s="47"/>
      <c r="E894" s="48"/>
    </row>
    <row r="895">
      <c r="A895" s="46"/>
      <c r="B895" s="46"/>
      <c r="C895" s="46"/>
      <c r="D895" s="47"/>
      <c r="E895" s="48"/>
    </row>
    <row r="896">
      <c r="A896" s="46"/>
      <c r="B896" s="46"/>
      <c r="C896" s="46"/>
      <c r="D896" s="47"/>
      <c r="E896" s="48"/>
    </row>
    <row r="897">
      <c r="A897" s="46"/>
      <c r="B897" s="46"/>
      <c r="C897" s="46"/>
      <c r="D897" s="47"/>
      <c r="E897" s="48"/>
    </row>
    <row r="898">
      <c r="A898" s="46"/>
      <c r="B898" s="46"/>
      <c r="C898" s="46"/>
      <c r="D898" s="47"/>
      <c r="E898" s="48"/>
    </row>
    <row r="899">
      <c r="A899" s="46"/>
      <c r="B899" s="46"/>
      <c r="C899" s="46"/>
      <c r="D899" s="47"/>
      <c r="E899" s="48"/>
    </row>
    <row r="900">
      <c r="A900" s="46"/>
      <c r="B900" s="46"/>
      <c r="C900" s="46"/>
      <c r="D900" s="47"/>
      <c r="E900" s="48"/>
    </row>
    <row r="901">
      <c r="A901" s="46"/>
      <c r="B901" s="46"/>
      <c r="C901" s="46"/>
      <c r="D901" s="47"/>
      <c r="E901" s="48"/>
    </row>
    <row r="902">
      <c r="A902" s="46"/>
      <c r="B902" s="46"/>
      <c r="C902" s="46"/>
      <c r="D902" s="47"/>
      <c r="E902" s="48"/>
    </row>
    <row r="903">
      <c r="A903" s="46"/>
      <c r="B903" s="46"/>
      <c r="C903" s="46"/>
      <c r="D903" s="47"/>
      <c r="E903" s="48"/>
    </row>
    <row r="904">
      <c r="A904" s="46"/>
      <c r="B904" s="46"/>
      <c r="C904" s="46"/>
      <c r="D904" s="47"/>
      <c r="E904" s="48"/>
    </row>
    <row r="905">
      <c r="A905" s="46"/>
      <c r="B905" s="46"/>
      <c r="C905" s="46"/>
      <c r="D905" s="47"/>
      <c r="E905" s="48"/>
    </row>
    <row r="906">
      <c r="A906" s="46"/>
      <c r="B906" s="46"/>
      <c r="C906" s="46"/>
      <c r="D906" s="47"/>
      <c r="E906" s="48"/>
    </row>
    <row r="907">
      <c r="A907" s="46"/>
      <c r="B907" s="46"/>
      <c r="C907" s="46"/>
      <c r="D907" s="47"/>
      <c r="E907" s="48"/>
    </row>
    <row r="908">
      <c r="A908" s="46"/>
      <c r="B908" s="46"/>
      <c r="C908" s="46"/>
      <c r="D908" s="47"/>
      <c r="E908" s="48"/>
    </row>
    <row r="909">
      <c r="A909" s="46"/>
      <c r="B909" s="46"/>
      <c r="C909" s="46"/>
      <c r="D909" s="47"/>
      <c r="E909" s="48"/>
    </row>
    <row r="910">
      <c r="A910" s="46"/>
      <c r="B910" s="46"/>
      <c r="C910" s="46"/>
      <c r="D910" s="47"/>
      <c r="E910" s="48"/>
    </row>
    <row r="911">
      <c r="A911" s="46"/>
      <c r="B911" s="46"/>
      <c r="C911" s="46"/>
      <c r="D911" s="47"/>
      <c r="E911" s="48"/>
    </row>
    <row r="912">
      <c r="A912" s="46"/>
      <c r="B912" s="46"/>
      <c r="C912" s="46"/>
      <c r="D912" s="47"/>
      <c r="E912" s="48"/>
    </row>
    <row r="913">
      <c r="A913" s="46"/>
      <c r="B913" s="46"/>
      <c r="C913" s="46"/>
      <c r="D913" s="47"/>
      <c r="E913" s="48"/>
    </row>
    <row r="914">
      <c r="A914" s="46"/>
      <c r="B914" s="46"/>
      <c r="C914" s="46"/>
      <c r="D914" s="47"/>
      <c r="E914" s="48"/>
    </row>
    <row r="915">
      <c r="A915" s="46"/>
      <c r="B915" s="46"/>
      <c r="C915" s="46"/>
      <c r="D915" s="47"/>
      <c r="E915" s="48"/>
    </row>
    <row r="916">
      <c r="A916" s="46"/>
      <c r="B916" s="46"/>
      <c r="C916" s="46"/>
      <c r="D916" s="47"/>
      <c r="E916" s="48"/>
    </row>
    <row r="917">
      <c r="A917" s="46"/>
      <c r="B917" s="46"/>
      <c r="C917" s="46"/>
      <c r="D917" s="47"/>
      <c r="E917" s="48"/>
    </row>
    <row r="918">
      <c r="A918" s="46"/>
      <c r="B918" s="46"/>
      <c r="C918" s="46"/>
      <c r="D918" s="47"/>
      <c r="E918" s="48"/>
    </row>
    <row r="919">
      <c r="A919" s="46"/>
      <c r="B919" s="46"/>
      <c r="C919" s="46"/>
      <c r="D919" s="47"/>
      <c r="E919" s="48"/>
    </row>
    <row r="920">
      <c r="A920" s="46"/>
      <c r="B920" s="46"/>
      <c r="C920" s="46"/>
      <c r="D920" s="47"/>
      <c r="E920" s="48"/>
    </row>
    <row r="921">
      <c r="A921" s="46"/>
      <c r="B921" s="46"/>
      <c r="C921" s="46"/>
      <c r="D921" s="47"/>
      <c r="E921" s="48"/>
    </row>
    <row r="922">
      <c r="A922" s="46"/>
      <c r="B922" s="46"/>
      <c r="C922" s="46"/>
      <c r="D922" s="47"/>
      <c r="E922" s="48"/>
    </row>
    <row r="923">
      <c r="A923" s="46"/>
      <c r="B923" s="46"/>
      <c r="C923" s="46"/>
      <c r="D923" s="47"/>
      <c r="E923" s="48"/>
    </row>
    <row r="924">
      <c r="A924" s="46"/>
      <c r="B924" s="46"/>
      <c r="C924" s="46"/>
      <c r="D924" s="47"/>
      <c r="E924" s="48"/>
    </row>
    <row r="925">
      <c r="A925" s="46"/>
      <c r="B925" s="46"/>
      <c r="C925" s="46"/>
      <c r="D925" s="47"/>
      <c r="E925" s="48"/>
    </row>
    <row r="926">
      <c r="A926" s="46"/>
      <c r="B926" s="46"/>
      <c r="C926" s="46"/>
      <c r="D926" s="47"/>
      <c r="E926" s="48"/>
    </row>
  </sheetData>
  <dataValidations>
    <dataValidation type="list" allowBlank="1" showDropDown="1" showErrorMessage="1" sqref="C2:C38">
      <formula1>"국내,해외"</formula1>
    </dataValidation>
    <dataValidation type="custom" allowBlank="1" showDropDown="1" sqref="A2:A38">
      <formula1>AND(ISNUMBER(A2),(NOT(OR(NOT(ISERROR(DATEVALUE(A2))), AND(ISNUMBER(A2), LEFT(CELL("format", A2))="D")))))</formula1>
    </dataValidation>
    <dataValidation allowBlank="1" showDropDown="1" sqref="E2:E38"/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63"/>
    <col customWidth="1" min="3" max="3" width="29.63"/>
    <col customWidth="1" min="4" max="4" width="8.88"/>
    <col customWidth="1" min="5" max="5" width="12.25"/>
    <col customWidth="1" min="6" max="6" width="8.5"/>
  </cols>
  <sheetData>
    <row r="1">
      <c r="A1" s="49" t="s">
        <v>4</v>
      </c>
      <c r="B1" s="49" t="s">
        <v>5</v>
      </c>
      <c r="C1" s="49" t="s">
        <v>1</v>
      </c>
      <c r="D1" s="49" t="s">
        <v>92</v>
      </c>
      <c r="E1" s="49" t="s">
        <v>93</v>
      </c>
      <c r="F1" s="49" t="s">
        <v>94</v>
      </c>
    </row>
    <row r="2">
      <c r="A2" s="50" t="s">
        <v>28</v>
      </c>
      <c r="B2" s="51"/>
      <c r="C2" s="50" t="s">
        <v>26</v>
      </c>
      <c r="D2" s="52">
        <v>236.0</v>
      </c>
      <c r="E2" s="53">
        <f>IFERROR(__xludf.DUMMYFUNCTION("IFERROR(D2 * (IFERROR(GOOGLEFINANCE(""KRX:411060"", ""price""), NAVER_PRICE(""411060""))), 0)"),7272340.0)</f>
        <v>7272340</v>
      </c>
      <c r="F2" s="54">
        <f>IFERROR(E2 / (E3+E5+E8+E10+E12+E23), 0)</f>
        <v>0.05543863166</v>
      </c>
    </row>
    <row r="3">
      <c r="A3" s="55" t="s">
        <v>95</v>
      </c>
      <c r="B3" s="56"/>
      <c r="C3" s="56"/>
      <c r="D3" s="57"/>
      <c r="E3" s="58">
        <f>SUM(E2)</f>
        <v>7272340</v>
      </c>
      <c r="F3" s="54">
        <f>IFERROR(E3 / (E3+E5+E8+E10+E12+E23), 0)</f>
        <v>0.05543863166</v>
      </c>
    </row>
    <row r="4">
      <c r="A4" s="50" t="s">
        <v>16</v>
      </c>
      <c r="B4" s="51"/>
      <c r="C4" s="50" t="s">
        <v>14</v>
      </c>
      <c r="D4" s="52">
        <v>266.0</v>
      </c>
      <c r="E4" s="53">
        <f>IFERROR(__xludf.DUMMYFUNCTION("IFERROR(D4 * (IFERROR(GOOGLEFINANCE(""KRX:456880"", ""price""), NAVER_PRICE(""456880""))), 0)"),3359580.0)</f>
        <v>3359580</v>
      </c>
      <c r="F4" s="54">
        <f>IFERROR(E4 / (E3+E5+E8+E10+E12+E23), 0)</f>
        <v>0.02561081002</v>
      </c>
    </row>
    <row r="5">
      <c r="A5" s="55" t="s">
        <v>96</v>
      </c>
      <c r="B5" s="56"/>
      <c r="C5" s="56"/>
      <c r="D5" s="57"/>
      <c r="E5" s="58">
        <f>SUM(E4)</f>
        <v>3359580</v>
      </c>
      <c r="F5" s="54">
        <f>IFERROR(E5 / (E3+E5+E8+E10+E12+E23), 0)</f>
        <v>0.02561081002</v>
      </c>
    </row>
    <row r="6">
      <c r="A6" s="59" t="s">
        <v>45</v>
      </c>
      <c r="B6" s="60"/>
      <c r="C6" s="50" t="s">
        <v>43</v>
      </c>
      <c r="D6" s="52">
        <v>86.62476000000001</v>
      </c>
      <c r="E6" s="53">
        <f>IFERROR(__xludf.DUMMYFUNCTION("IFERROR(D6 * (IFERROR(GOOGLEFINANCE(""O"", ""price""), NAVER_PRICE(""O""))) * 1469.515, 0)"),8148241.552091517)</f>
        <v>8148241.552</v>
      </c>
      <c r="F6" s="54">
        <f>IFERROR(E6 / (E3+E5+E8+E10+E12+E23), 0)</f>
        <v>0.06211581996</v>
      </c>
    </row>
    <row r="7">
      <c r="A7" s="61"/>
      <c r="B7" s="61"/>
      <c r="C7" s="50" t="s">
        <v>77</v>
      </c>
      <c r="D7" s="50">
        <v>20.0</v>
      </c>
      <c r="E7" s="53">
        <f>IFERROR(__xludf.DUMMYFUNCTION("IFERROR(D7 * (IFERROR(GOOGLEFINANCE(""0086B0"", ""price""), NAVER_PRICE(""0086B0""))), 0)"),215200.0)</f>
        <v>215200</v>
      </c>
      <c r="F7" s="54">
        <f>IFERROR(E7 / (E3+E5+E8+E10+E12+E23), 0)</f>
        <v>0.001640516468</v>
      </c>
    </row>
    <row r="8">
      <c r="A8" s="55" t="s">
        <v>97</v>
      </c>
      <c r="B8" s="56"/>
      <c r="C8" s="56"/>
      <c r="D8" s="57"/>
      <c r="E8" s="58">
        <f>SUM(E6:E7)</f>
        <v>8363441.552</v>
      </c>
      <c r="F8" s="54">
        <f>IFERROR(E8 / (E3+E5+E8+E10+E12+E23), 0)</f>
        <v>0.06375633643</v>
      </c>
    </row>
    <row r="9">
      <c r="A9" s="50" t="s">
        <v>31</v>
      </c>
      <c r="B9" s="62"/>
      <c r="C9" s="50" t="s">
        <v>29</v>
      </c>
      <c r="D9" s="50">
        <v>167.0</v>
      </c>
      <c r="E9" s="53">
        <f>IFERROR(__xludf.DUMMYFUNCTION("IFERROR(D9 * (IFERROR(GOOGLEFINANCE(""KRX:305080"", ""price""), NAVER_PRICE(""305080""))), 0)"),2196050.0)</f>
        <v>2196050</v>
      </c>
      <c r="F9" s="54">
        <f>IFERROR(E9 / (E3+E5+E8+E10+E12+E23), 0)</f>
        <v>0.01674096743</v>
      </c>
    </row>
    <row r="10">
      <c r="A10" s="55" t="s">
        <v>98</v>
      </c>
      <c r="B10" s="56"/>
      <c r="C10" s="56"/>
      <c r="D10" s="57"/>
      <c r="E10" s="58">
        <f>SUM(E9)</f>
        <v>2196050</v>
      </c>
      <c r="F10" s="54">
        <f>IFERROR(E10 / (E3+E5+E8+E10+E12+E23), 0)</f>
        <v>0.01674096743</v>
      </c>
    </row>
    <row r="11">
      <c r="A11" s="50" t="s">
        <v>36</v>
      </c>
      <c r="B11" s="62"/>
      <c r="C11" s="50" t="s">
        <v>34</v>
      </c>
      <c r="D11" s="50">
        <v>376.0</v>
      </c>
      <c r="E11" s="53">
        <f>IFERROR(__xludf.DUMMYFUNCTION("IFERROR(D11 * (IFERROR(GOOGLEFINANCE(""KRX:278530"", ""price""), NAVER_PRICE(""278530""))), 0)"),1.5698E7)</f>
        <v>15698000</v>
      </c>
      <c r="F11" s="54">
        <f>IFERROR(E11 / (E3+E5+E8+E10+E12+E23), 0)</f>
        <v>0.1196692729</v>
      </c>
    </row>
    <row r="12">
      <c r="A12" s="55" t="s">
        <v>99</v>
      </c>
      <c r="B12" s="56"/>
      <c r="C12" s="56"/>
      <c r="D12" s="57"/>
      <c r="E12" s="58">
        <f>SUM(E11)</f>
        <v>15698000</v>
      </c>
      <c r="F12" s="54">
        <f>IFERROR(E12 / (E3+E5+E8+E10+E12+E23), 0)</f>
        <v>0.1196692729</v>
      </c>
    </row>
    <row r="13">
      <c r="A13" s="59" t="s">
        <v>9</v>
      </c>
      <c r="B13" s="59" t="s">
        <v>10</v>
      </c>
      <c r="C13" s="50" t="s">
        <v>11</v>
      </c>
      <c r="D13" s="50">
        <v>53.711291</v>
      </c>
      <c r="E13" s="53">
        <f>IFERROR(__xludf.DUMMYFUNCTION("IFERROR(D13 * (IFERROR(GOOGLEFINANCE(""SMH"", ""price""), NAVER_PRICE(""SMH""))) * 1469.515, 0)"),4.3392308195155226E7)</f>
        <v>43392308.2</v>
      </c>
      <c r="F13" s="54">
        <f>IFERROR(E13 / (E3+E5+E8+E10+E12+E23), 0)</f>
        <v>0.3307890158</v>
      </c>
    </row>
    <row r="14">
      <c r="A14" s="63"/>
      <c r="B14" s="63"/>
      <c r="C14" s="50" t="s">
        <v>73</v>
      </c>
      <c r="D14" s="52">
        <v>3.0</v>
      </c>
      <c r="E14" s="53">
        <f>IFERROR(__xludf.DUMMYFUNCTION("IFERROR(D14 * (IFERROR(GOOGLEFINANCE(""SOXX"", ""price""), NAVER_PRICE(""SOXX""))) * 1469.515, 0)"),2234559.20415)</f>
        <v>2234559.204</v>
      </c>
      <c r="F14" s="54">
        <f>IFERROR(E14 / (E3+E5+E8+E10+E12+E23), 0)</f>
        <v>0.01703453148</v>
      </c>
    </row>
    <row r="15">
      <c r="A15" s="63"/>
      <c r="B15" s="61"/>
      <c r="C15" s="50" t="s">
        <v>6</v>
      </c>
      <c r="D15" s="52">
        <v>261.0</v>
      </c>
      <c r="E15" s="53">
        <f>IFERROR(__xludf.DUMMYFUNCTION("IFERROR(D15 * (IFERROR(GOOGLEFINANCE(""KRX:381180"", ""price""), NAVER_PRICE(""381180""))), 0)"),1.1344365E7)</f>
        <v>11344365</v>
      </c>
      <c r="F15" s="54">
        <f>IFERROR(E15 / (E3+E5+E8+E10+E12+E23), 0)</f>
        <v>0.08648056508</v>
      </c>
    </row>
    <row r="16">
      <c r="A16" s="63"/>
      <c r="B16" s="59" t="s">
        <v>19</v>
      </c>
      <c r="C16" s="50" t="s">
        <v>32</v>
      </c>
      <c r="D16" s="52">
        <v>177.0</v>
      </c>
      <c r="E16" s="53">
        <f>IFERROR(__xludf.DUMMYFUNCTION("IFERROR(D16 * (IFERROR(GOOGLEFINANCE(""KRX:379800"", ""price""), NAVER_PRICE(""379800""))), 0)"),4284285.0)</f>
        <v>4284285</v>
      </c>
      <c r="F16" s="54">
        <f>IFERROR(E16 / (E3+E5+E8+E10+E12+E23), 0)</f>
        <v>0.03266003763</v>
      </c>
    </row>
    <row r="17">
      <c r="A17" s="63"/>
      <c r="B17" s="63"/>
      <c r="C17" s="50" t="s">
        <v>46</v>
      </c>
      <c r="D17" s="52">
        <v>10.91356</v>
      </c>
      <c r="E17" s="53">
        <f>IFERROR(__xludf.DUMMYFUNCTION("IFERROR(D17 * (IFERROR(GOOGLEFINANCE(""VOO"", ""price""), NAVER_PRICE(""VOO""))) * 1469.515, 0)"),1.0819954285653045E7)</f>
        <v>10819954.29</v>
      </c>
      <c r="F17" s="54">
        <f>IFERROR(E17 / (E3+E5+E8+E10+E12+E23), 0)</f>
        <v>0.082482868</v>
      </c>
    </row>
    <row r="18">
      <c r="A18" s="63"/>
      <c r="B18" s="61"/>
      <c r="C18" s="50" t="s">
        <v>17</v>
      </c>
      <c r="D18" s="52">
        <v>224.0</v>
      </c>
      <c r="E18" s="53">
        <f>IFERROR(__xludf.DUMMYFUNCTION("IFERROR(D18 * (IFERROR(GOOGLEFINANCE(""KRX:360750"", ""price""), NAVER_PRICE(""360750""))), 0)"),5946080.0)</f>
        <v>5946080</v>
      </c>
      <c r="F18" s="54">
        <f>IFERROR(E18 / (E3+E5+E8+E10+E12+E23), 0)</f>
        <v>0.04532826284</v>
      </c>
    </row>
    <row r="19">
      <c r="A19" s="63"/>
      <c r="B19" s="50" t="s">
        <v>22</v>
      </c>
      <c r="C19" s="50" t="s">
        <v>20</v>
      </c>
      <c r="D19" s="52">
        <v>196.0</v>
      </c>
      <c r="E19" s="53">
        <f>IFERROR(__xludf.DUMMYFUNCTION("IFERROR(D19 * (IFERROR(GOOGLEFINANCE(""KRX:458730"", ""price""), NAVER_PRICE(""458730""))), 0)"),2865520.0)</f>
        <v>2865520</v>
      </c>
      <c r="F19" s="54">
        <f>IFERROR(E19 / (E3+E5+E8+E10+E12+E23), 0)</f>
        <v>0.02184448304</v>
      </c>
    </row>
    <row r="20">
      <c r="A20" s="63"/>
      <c r="B20" s="59" t="s">
        <v>25</v>
      </c>
      <c r="C20" s="50" t="s">
        <v>23</v>
      </c>
      <c r="D20" s="52">
        <v>296.0</v>
      </c>
      <c r="E20" s="53">
        <f>IFERROR(__xludf.DUMMYFUNCTION("IFERROR(D20 * (IFERROR(GOOGLEFINANCE(""KRX:367380"", ""price""), NAVER_PRICE(""367380""))), 0)"),9366920.0)</f>
        <v>9366920</v>
      </c>
      <c r="F20" s="54">
        <f>IFERROR(E20 / (E3+E5+E8+E10+E12+E23), 0)</f>
        <v>0.07140607118</v>
      </c>
    </row>
    <row r="21">
      <c r="A21" s="63"/>
      <c r="B21" s="61"/>
      <c r="C21" s="50" t="s">
        <v>59</v>
      </c>
      <c r="D21" s="52">
        <v>1.0</v>
      </c>
      <c r="E21" s="53">
        <f>IFERROR(__xludf.DUMMYFUNCTION("IFERROR(D21 * (IFERROR(GOOGLEFINANCE(""QQQM"", ""price""), NAVER_PRICE(""QQQM""))) * 1469.515, 0)"),420869.096)</f>
        <v>420869.096</v>
      </c>
      <c r="F21" s="54">
        <f>IFERROR(E21 / (E3+E5+E8+E10+E12+E23), 0)</f>
        <v>0.00320837678</v>
      </c>
    </row>
    <row r="22">
      <c r="A22" s="61"/>
      <c r="B22" s="50" t="s">
        <v>52</v>
      </c>
      <c r="C22" s="50" t="s">
        <v>50</v>
      </c>
      <c r="D22" s="50">
        <v>16.913801</v>
      </c>
      <c r="E22" s="53">
        <f>IFERROR(__xludf.DUMMYFUNCTION("IFERROR(D22 * (IFERROR(GOOGLEFINANCE(""XLV"", ""price""), NAVER_PRICE(""XLV""))) * 1469.515, 0)"),3613929.253805281)</f>
        <v>3613929.254</v>
      </c>
      <c r="F22" s="54">
        <f>IFERROR(E22 / (E3+E5+E8+E10+E12+E23), 0)</f>
        <v>0.02754976978</v>
      </c>
    </row>
    <row r="23">
      <c r="A23" s="55" t="s">
        <v>100</v>
      </c>
      <c r="B23" s="56"/>
      <c r="C23" s="56"/>
      <c r="D23" s="57"/>
      <c r="E23" s="58">
        <f>SUM(E13:E22)</f>
        <v>94288790.03</v>
      </c>
      <c r="F23" s="54">
        <f>IFERROR(E23 / (E3+E5+E8+E10+E12+E23), 0)</f>
        <v>0.7187839816</v>
      </c>
    </row>
    <row r="24">
      <c r="A24" s="64"/>
      <c r="B24" s="64"/>
      <c r="C24" s="64"/>
      <c r="E24" s="65"/>
      <c r="F24" s="66"/>
    </row>
    <row r="25">
      <c r="A25" s="64"/>
      <c r="B25" s="64"/>
      <c r="C25" s="64"/>
      <c r="D25" s="64"/>
      <c r="E25" s="65"/>
      <c r="F25" s="66"/>
    </row>
  </sheetData>
  <mergeCells count="12">
    <mergeCell ref="B6:B7"/>
    <mergeCell ref="B13:B15"/>
    <mergeCell ref="B16:B18"/>
    <mergeCell ref="B20:B21"/>
    <mergeCell ref="A3:D3"/>
    <mergeCell ref="A5:D5"/>
    <mergeCell ref="A6:A7"/>
    <mergeCell ref="A8:D8"/>
    <mergeCell ref="A10:D10"/>
    <mergeCell ref="A12:D12"/>
    <mergeCell ref="A13:A22"/>
    <mergeCell ref="A23:D23"/>
  </mergeCells>
  <conditionalFormatting sqref="F2:F23">
    <cfRule type="cellIs" dxfId="5" priority="1" stopIfTrue="1" operator="greaterThanOrEqual">
      <formula>0.2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3" width="2.88"/>
    <col customWidth="1" min="4" max="4" width="29.63"/>
    <col customWidth="1" min="5" max="5" width="11.13"/>
    <col customWidth="1" min="6" max="6" width="8.0"/>
    <col customWidth="1" min="7" max="7" width="9.0"/>
    <col customWidth="1" min="8" max="8" width="10.63"/>
    <col customWidth="1" min="9" max="9" width="10.13"/>
    <col customWidth="1" min="10" max="10" width="14.38"/>
    <col customWidth="1" min="11" max="11" width="13.0"/>
  </cols>
  <sheetData>
    <row r="1">
      <c r="A1" s="67" t="s">
        <v>101</v>
      </c>
      <c r="B1" s="67" t="s">
        <v>102</v>
      </c>
      <c r="C1" s="67" t="s">
        <v>103</v>
      </c>
      <c r="D1" s="67" t="s">
        <v>1</v>
      </c>
      <c r="E1" s="67" t="s">
        <v>104</v>
      </c>
      <c r="F1" s="67" t="s">
        <v>105</v>
      </c>
      <c r="G1" s="67" t="s">
        <v>106</v>
      </c>
      <c r="H1" s="67" t="s">
        <v>2</v>
      </c>
      <c r="I1" s="67" t="s">
        <v>107</v>
      </c>
      <c r="J1" s="67" t="s">
        <v>108</v>
      </c>
      <c r="K1" s="67" t="s">
        <v>109</v>
      </c>
    </row>
    <row r="2">
      <c r="A2" s="68">
        <v>2019.0</v>
      </c>
      <c r="B2" s="68">
        <v>1.0</v>
      </c>
      <c r="C2" s="68">
        <v>4.0</v>
      </c>
      <c r="D2" s="69" t="s">
        <v>37</v>
      </c>
      <c r="E2" s="70">
        <v>37250.0</v>
      </c>
      <c r="F2" s="69">
        <v>2.0</v>
      </c>
      <c r="G2" s="71">
        <f t="shared" ref="G2:G42" si="1">sum(E2*F2)</f>
        <v>74500</v>
      </c>
      <c r="H2" s="72" t="s">
        <v>7</v>
      </c>
      <c r="I2" s="72" t="s">
        <v>110</v>
      </c>
      <c r="J2" s="72" t="s">
        <v>111</v>
      </c>
      <c r="K2" s="72" t="s">
        <v>112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68">
        <v>2019.0</v>
      </c>
      <c r="B3" s="68">
        <v>1.0</v>
      </c>
      <c r="C3" s="68">
        <v>10.0</v>
      </c>
      <c r="D3" s="69" t="s">
        <v>37</v>
      </c>
      <c r="E3" s="70">
        <v>39600.0</v>
      </c>
      <c r="F3" s="69">
        <v>3.0</v>
      </c>
      <c r="G3" s="71">
        <f t="shared" si="1"/>
        <v>118800</v>
      </c>
      <c r="H3" s="72" t="s">
        <v>7</v>
      </c>
      <c r="I3" s="72" t="s">
        <v>110</v>
      </c>
      <c r="J3" s="72" t="s">
        <v>111</v>
      </c>
      <c r="K3" s="72" t="s">
        <v>112</v>
      </c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68">
        <v>2019.0</v>
      </c>
      <c r="B4" s="68">
        <v>1.0</v>
      </c>
      <c r="C4" s="68">
        <v>14.0</v>
      </c>
      <c r="D4" s="69" t="s">
        <v>37</v>
      </c>
      <c r="E4" s="70">
        <v>40000.0</v>
      </c>
      <c r="F4" s="69">
        <v>5.0</v>
      </c>
      <c r="G4" s="71">
        <f t="shared" si="1"/>
        <v>200000</v>
      </c>
      <c r="H4" s="72" t="s">
        <v>7</v>
      </c>
      <c r="I4" s="72" t="s">
        <v>110</v>
      </c>
      <c r="J4" s="72" t="s">
        <v>111</v>
      </c>
      <c r="K4" s="72" t="s">
        <v>112</v>
      </c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68">
        <v>2019.0</v>
      </c>
      <c r="B5" s="68">
        <v>1.0</v>
      </c>
      <c r="C5" s="68">
        <v>29.0</v>
      </c>
      <c r="D5" s="69" t="s">
        <v>37</v>
      </c>
      <c r="E5" s="70">
        <v>45050.0</v>
      </c>
      <c r="F5" s="69">
        <v>1.0</v>
      </c>
      <c r="G5" s="71">
        <f t="shared" si="1"/>
        <v>45050</v>
      </c>
      <c r="H5" s="72" t="s">
        <v>7</v>
      </c>
      <c r="I5" s="72" t="s">
        <v>110</v>
      </c>
      <c r="J5" s="72" t="s">
        <v>111</v>
      </c>
      <c r="K5" s="72" t="s">
        <v>112</v>
      </c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68">
        <v>2019.0</v>
      </c>
      <c r="B6" s="68">
        <v>2.0</v>
      </c>
      <c r="C6" s="68">
        <v>28.0</v>
      </c>
      <c r="D6" s="69" t="s">
        <v>37</v>
      </c>
      <c r="E6" s="70">
        <v>45500.0</v>
      </c>
      <c r="F6" s="69">
        <v>5.0</v>
      </c>
      <c r="G6" s="71">
        <f t="shared" si="1"/>
        <v>227500</v>
      </c>
      <c r="H6" s="72" t="s">
        <v>7</v>
      </c>
      <c r="I6" s="72" t="s">
        <v>110</v>
      </c>
      <c r="J6" s="72" t="s">
        <v>111</v>
      </c>
      <c r="K6" s="72" t="s">
        <v>112</v>
      </c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68">
        <v>2019.0</v>
      </c>
      <c r="B7" s="68">
        <v>3.0</v>
      </c>
      <c r="C7" s="68">
        <v>4.0</v>
      </c>
      <c r="D7" s="69" t="s">
        <v>37</v>
      </c>
      <c r="E7" s="70">
        <v>45100.0</v>
      </c>
      <c r="F7" s="69">
        <v>5.0</v>
      </c>
      <c r="G7" s="71">
        <f t="shared" si="1"/>
        <v>225500</v>
      </c>
      <c r="H7" s="72" t="s">
        <v>7</v>
      </c>
      <c r="I7" s="72" t="s">
        <v>110</v>
      </c>
      <c r="J7" s="72" t="s">
        <v>111</v>
      </c>
      <c r="K7" s="72" t="s">
        <v>112</v>
      </c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68">
        <v>2019.0</v>
      </c>
      <c r="B8" s="68">
        <v>3.0</v>
      </c>
      <c r="C8" s="68">
        <v>6.0</v>
      </c>
      <c r="D8" s="69" t="s">
        <v>37</v>
      </c>
      <c r="E8" s="70">
        <v>44000.0</v>
      </c>
      <c r="F8" s="69">
        <v>5.0</v>
      </c>
      <c r="G8" s="71">
        <f t="shared" si="1"/>
        <v>220000</v>
      </c>
      <c r="H8" s="72" t="s">
        <v>7</v>
      </c>
      <c r="I8" s="72" t="s">
        <v>110</v>
      </c>
      <c r="J8" s="72" t="s">
        <v>111</v>
      </c>
      <c r="K8" s="72" t="s">
        <v>112</v>
      </c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>
      <c r="A9" s="68">
        <v>2019.0</v>
      </c>
      <c r="B9" s="68">
        <v>5.0</v>
      </c>
      <c r="C9" s="68">
        <v>7.0</v>
      </c>
      <c r="D9" s="69" t="s">
        <v>37</v>
      </c>
      <c r="E9" s="70">
        <v>44750.0</v>
      </c>
      <c r="F9" s="69">
        <v>5.0</v>
      </c>
      <c r="G9" s="71">
        <f t="shared" si="1"/>
        <v>223750</v>
      </c>
      <c r="H9" s="72" t="s">
        <v>7</v>
      </c>
      <c r="I9" s="72" t="s">
        <v>110</v>
      </c>
      <c r="J9" s="72" t="s">
        <v>111</v>
      </c>
      <c r="K9" s="72" t="s">
        <v>112</v>
      </c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68">
        <v>2019.0</v>
      </c>
      <c r="B10" s="68">
        <v>5.0</v>
      </c>
      <c r="C10" s="68">
        <v>9.0</v>
      </c>
      <c r="D10" s="69" t="s">
        <v>37</v>
      </c>
      <c r="E10" s="70">
        <v>42900.0</v>
      </c>
      <c r="F10" s="69">
        <v>5.0</v>
      </c>
      <c r="G10" s="71">
        <f t="shared" si="1"/>
        <v>214500</v>
      </c>
      <c r="H10" s="72" t="s">
        <v>7</v>
      </c>
      <c r="I10" s="72" t="s">
        <v>110</v>
      </c>
      <c r="J10" s="72" t="s">
        <v>111</v>
      </c>
      <c r="K10" s="72" t="s">
        <v>112</v>
      </c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68">
        <v>2019.0</v>
      </c>
      <c r="B11" s="68">
        <v>5.0</v>
      </c>
      <c r="C11" s="68">
        <v>17.0</v>
      </c>
      <c r="D11" s="69" t="s">
        <v>37</v>
      </c>
      <c r="E11" s="70">
        <v>41500.0</v>
      </c>
      <c r="F11" s="69">
        <v>5.0</v>
      </c>
      <c r="G11" s="71">
        <f t="shared" si="1"/>
        <v>207500</v>
      </c>
      <c r="H11" s="72" t="s">
        <v>7</v>
      </c>
      <c r="I11" s="72" t="s">
        <v>110</v>
      </c>
      <c r="J11" s="72" t="s">
        <v>111</v>
      </c>
      <c r="K11" s="72" t="s">
        <v>112</v>
      </c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68">
        <v>2019.0</v>
      </c>
      <c r="B12" s="68">
        <v>11.0</v>
      </c>
      <c r="C12" s="68">
        <v>20.0</v>
      </c>
      <c r="D12" s="69" t="s">
        <v>37</v>
      </c>
      <c r="E12" s="70">
        <v>52700.0</v>
      </c>
      <c r="F12" s="69">
        <v>2.0</v>
      </c>
      <c r="G12" s="71">
        <f t="shared" si="1"/>
        <v>105400</v>
      </c>
      <c r="H12" s="72" t="s">
        <v>7</v>
      </c>
      <c r="I12" s="72" t="s">
        <v>110</v>
      </c>
      <c r="J12" s="72" t="s">
        <v>111</v>
      </c>
      <c r="K12" s="72" t="s">
        <v>112</v>
      </c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68">
        <v>2019.0</v>
      </c>
      <c r="B13" s="68">
        <v>12.0</v>
      </c>
      <c r="C13" s="68">
        <v>2.0</v>
      </c>
      <c r="D13" s="69" t="s">
        <v>37</v>
      </c>
      <c r="E13" s="70">
        <v>50400.0</v>
      </c>
      <c r="F13" s="69">
        <v>5.0</v>
      </c>
      <c r="G13" s="71">
        <f t="shared" si="1"/>
        <v>252000</v>
      </c>
      <c r="H13" s="72" t="s">
        <v>7</v>
      </c>
      <c r="I13" s="72" t="s">
        <v>110</v>
      </c>
      <c r="J13" s="72" t="s">
        <v>111</v>
      </c>
      <c r="K13" s="72" t="s">
        <v>112</v>
      </c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68">
        <v>2019.0</v>
      </c>
      <c r="B14" s="68">
        <v>12.0</v>
      </c>
      <c r="C14" s="68">
        <v>5.0</v>
      </c>
      <c r="D14" s="69" t="s">
        <v>37</v>
      </c>
      <c r="E14" s="70">
        <v>50000.0</v>
      </c>
      <c r="F14" s="69">
        <v>3.0</v>
      </c>
      <c r="G14" s="71">
        <f t="shared" si="1"/>
        <v>150000</v>
      </c>
      <c r="H14" s="72" t="s">
        <v>7</v>
      </c>
      <c r="I14" s="72" t="s">
        <v>110</v>
      </c>
      <c r="J14" s="72" t="s">
        <v>111</v>
      </c>
      <c r="K14" s="72" t="s">
        <v>112</v>
      </c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68">
        <v>2020.0</v>
      </c>
      <c r="B15" s="68">
        <v>1.0</v>
      </c>
      <c r="C15" s="68">
        <v>2.0</v>
      </c>
      <c r="D15" s="69" t="s">
        <v>37</v>
      </c>
      <c r="E15" s="70">
        <v>55300.0</v>
      </c>
      <c r="F15" s="69">
        <v>4.0</v>
      </c>
      <c r="G15" s="71">
        <f t="shared" si="1"/>
        <v>221200</v>
      </c>
      <c r="H15" s="72" t="s">
        <v>7</v>
      </c>
      <c r="I15" s="72" t="s">
        <v>110</v>
      </c>
      <c r="J15" s="72" t="s">
        <v>111</v>
      </c>
      <c r="K15" s="72" t="s">
        <v>112</v>
      </c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74">
        <v>2020.0</v>
      </c>
      <c r="B16" s="74">
        <v>2.0</v>
      </c>
      <c r="C16" s="74">
        <v>18.0</v>
      </c>
      <c r="D16" s="75" t="s">
        <v>39</v>
      </c>
      <c r="E16" s="76">
        <v>51133.0</v>
      </c>
      <c r="F16" s="75">
        <v>9.0</v>
      </c>
      <c r="G16" s="77">
        <f t="shared" si="1"/>
        <v>460197</v>
      </c>
      <c r="H16" s="78" t="s">
        <v>7</v>
      </c>
      <c r="I16" s="78" t="s">
        <v>110</v>
      </c>
      <c r="J16" s="78" t="s">
        <v>111</v>
      </c>
      <c r="K16" s="72" t="s">
        <v>112</v>
      </c>
    </row>
    <row r="17">
      <c r="A17" s="74">
        <v>2020.0</v>
      </c>
      <c r="B17" s="74">
        <v>2.0</v>
      </c>
      <c r="C17" s="74">
        <v>24.0</v>
      </c>
      <c r="D17" s="75" t="s">
        <v>39</v>
      </c>
      <c r="E17" s="76">
        <v>49000.0</v>
      </c>
      <c r="F17" s="75">
        <v>5.0</v>
      </c>
      <c r="G17" s="77">
        <f t="shared" si="1"/>
        <v>245000</v>
      </c>
      <c r="H17" s="78" t="s">
        <v>7</v>
      </c>
      <c r="I17" s="78" t="s">
        <v>110</v>
      </c>
      <c r="J17" s="78" t="s">
        <v>111</v>
      </c>
      <c r="K17" s="72" t="s">
        <v>112</v>
      </c>
    </row>
    <row r="18">
      <c r="A18" s="74">
        <v>2020.0</v>
      </c>
      <c r="B18" s="74">
        <v>2.0</v>
      </c>
      <c r="C18" s="74">
        <v>26.0</v>
      </c>
      <c r="D18" s="75" t="s">
        <v>39</v>
      </c>
      <c r="E18" s="76">
        <v>48500.0</v>
      </c>
      <c r="F18" s="75">
        <v>5.0</v>
      </c>
      <c r="G18" s="77">
        <f t="shared" si="1"/>
        <v>242500</v>
      </c>
      <c r="H18" s="78" t="s">
        <v>7</v>
      </c>
      <c r="I18" s="78" t="s">
        <v>110</v>
      </c>
      <c r="J18" s="78" t="s">
        <v>111</v>
      </c>
      <c r="K18" s="72" t="s">
        <v>112</v>
      </c>
    </row>
    <row r="19">
      <c r="A19" s="74">
        <v>2020.0</v>
      </c>
      <c r="B19" s="74">
        <v>3.0</v>
      </c>
      <c r="C19" s="74">
        <v>3.0</v>
      </c>
      <c r="D19" s="75" t="s">
        <v>39</v>
      </c>
      <c r="E19" s="76">
        <v>46800.0</v>
      </c>
      <c r="F19" s="75">
        <v>5.0</v>
      </c>
      <c r="G19" s="77">
        <f t="shared" si="1"/>
        <v>234000</v>
      </c>
      <c r="H19" s="78" t="s">
        <v>7</v>
      </c>
      <c r="I19" s="78" t="s">
        <v>110</v>
      </c>
      <c r="J19" s="78" t="s">
        <v>111</v>
      </c>
      <c r="K19" s="72" t="s">
        <v>112</v>
      </c>
    </row>
    <row r="20">
      <c r="A20" s="74">
        <v>2020.0</v>
      </c>
      <c r="B20" s="74">
        <v>3.0</v>
      </c>
      <c r="C20" s="74">
        <v>6.0</v>
      </c>
      <c r="D20" s="75" t="s">
        <v>39</v>
      </c>
      <c r="E20" s="76">
        <v>47500.0</v>
      </c>
      <c r="F20" s="75">
        <v>5.0</v>
      </c>
      <c r="G20" s="77">
        <f t="shared" si="1"/>
        <v>237500</v>
      </c>
      <c r="H20" s="78" t="s">
        <v>7</v>
      </c>
      <c r="I20" s="78" t="s">
        <v>110</v>
      </c>
      <c r="J20" s="78" t="s">
        <v>111</v>
      </c>
      <c r="K20" s="72" t="s">
        <v>112</v>
      </c>
    </row>
    <row r="21">
      <c r="A21" s="68">
        <v>2020.0</v>
      </c>
      <c r="B21" s="68">
        <v>3.0</v>
      </c>
      <c r="C21" s="68">
        <v>9.0</v>
      </c>
      <c r="D21" s="69" t="s">
        <v>37</v>
      </c>
      <c r="E21" s="70">
        <v>54000.0</v>
      </c>
      <c r="F21" s="69">
        <v>4.0</v>
      </c>
      <c r="G21" s="71">
        <f t="shared" si="1"/>
        <v>216000</v>
      </c>
      <c r="H21" s="72" t="s">
        <v>7</v>
      </c>
      <c r="I21" s="72" t="s">
        <v>110</v>
      </c>
      <c r="J21" s="72" t="s">
        <v>111</v>
      </c>
      <c r="K21" s="72" t="s">
        <v>112</v>
      </c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68">
        <v>2020.0</v>
      </c>
      <c r="B22" s="68">
        <v>3.0</v>
      </c>
      <c r="C22" s="68">
        <v>11.0</v>
      </c>
      <c r="D22" s="69" t="s">
        <v>37</v>
      </c>
      <c r="E22" s="70">
        <v>52000.0</v>
      </c>
      <c r="F22" s="69">
        <v>2.0</v>
      </c>
      <c r="G22" s="71">
        <f t="shared" si="1"/>
        <v>104000</v>
      </c>
      <c r="H22" s="72" t="s">
        <v>7</v>
      </c>
      <c r="I22" s="72" t="s">
        <v>110</v>
      </c>
      <c r="J22" s="72" t="s">
        <v>111</v>
      </c>
      <c r="K22" s="72" t="s">
        <v>112</v>
      </c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>
      <c r="A23" s="68">
        <v>2020.0</v>
      </c>
      <c r="B23" s="68">
        <v>4.0</v>
      </c>
      <c r="C23" s="68">
        <v>29.0</v>
      </c>
      <c r="D23" s="69" t="s">
        <v>37</v>
      </c>
      <c r="E23" s="70">
        <v>49900.0</v>
      </c>
      <c r="F23" s="69">
        <v>5.0</v>
      </c>
      <c r="G23" s="71">
        <f t="shared" si="1"/>
        <v>249500</v>
      </c>
      <c r="H23" s="72" t="s">
        <v>7</v>
      </c>
      <c r="I23" s="72" t="s">
        <v>110</v>
      </c>
      <c r="J23" s="72" t="s">
        <v>111</v>
      </c>
      <c r="K23" s="72" t="s">
        <v>112</v>
      </c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74">
        <v>2020.0</v>
      </c>
      <c r="B24" s="74">
        <v>6.0</v>
      </c>
      <c r="C24" s="74">
        <v>12.0</v>
      </c>
      <c r="D24" s="79" t="s">
        <v>63</v>
      </c>
      <c r="E24" s="80">
        <v>46.0</v>
      </c>
      <c r="F24" s="75">
        <v>9.0</v>
      </c>
      <c r="G24" s="81">
        <f t="shared" si="1"/>
        <v>414</v>
      </c>
      <c r="H24" s="78" t="s">
        <v>12</v>
      </c>
      <c r="I24" s="78" t="s">
        <v>110</v>
      </c>
      <c r="J24" s="78" t="s">
        <v>111</v>
      </c>
      <c r="K24" s="72" t="s">
        <v>112</v>
      </c>
    </row>
    <row r="25">
      <c r="A25" s="82">
        <v>2020.0</v>
      </c>
      <c r="B25" s="82">
        <v>7.0</v>
      </c>
      <c r="C25" s="82">
        <v>31.0</v>
      </c>
      <c r="D25" s="83" t="s">
        <v>63</v>
      </c>
      <c r="E25" s="84">
        <v>46.83</v>
      </c>
      <c r="F25" s="82">
        <v>25.0</v>
      </c>
      <c r="G25" s="85">
        <f t="shared" si="1"/>
        <v>1170.75</v>
      </c>
      <c r="H25" s="86" t="s">
        <v>12</v>
      </c>
      <c r="I25" s="86" t="s">
        <v>110</v>
      </c>
      <c r="J25" s="86" t="s">
        <v>111</v>
      </c>
      <c r="K25" s="86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82">
        <v>2020.0</v>
      </c>
      <c r="B26" s="82">
        <v>8.0</v>
      </c>
      <c r="C26" s="82">
        <v>4.0</v>
      </c>
      <c r="D26" s="83" t="s">
        <v>63</v>
      </c>
      <c r="E26" s="84">
        <v>46.62</v>
      </c>
      <c r="F26" s="82">
        <v>1.0</v>
      </c>
      <c r="G26" s="85">
        <f t="shared" si="1"/>
        <v>46.62</v>
      </c>
      <c r="H26" s="86" t="s">
        <v>12</v>
      </c>
      <c r="I26" s="86" t="s">
        <v>110</v>
      </c>
      <c r="J26" s="86" t="s">
        <v>111</v>
      </c>
      <c r="K26" s="86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68">
        <v>2020.0</v>
      </c>
      <c r="B27" s="68">
        <v>8.0</v>
      </c>
      <c r="C27" s="68">
        <v>5.0</v>
      </c>
      <c r="D27" s="69" t="s">
        <v>37</v>
      </c>
      <c r="E27" s="70">
        <v>56700.0</v>
      </c>
      <c r="F27" s="69">
        <v>20.0</v>
      </c>
      <c r="G27" s="71">
        <f t="shared" si="1"/>
        <v>1134000</v>
      </c>
      <c r="H27" s="72" t="s">
        <v>7</v>
      </c>
      <c r="I27" s="72" t="s">
        <v>110</v>
      </c>
      <c r="J27" s="72" t="s">
        <v>111</v>
      </c>
      <c r="K27" s="87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>
      <c r="A28" s="82">
        <v>2020.0</v>
      </c>
      <c r="B28" s="82">
        <v>8.0</v>
      </c>
      <c r="C28" s="82">
        <v>13.0</v>
      </c>
      <c r="D28" s="82" t="s">
        <v>71</v>
      </c>
      <c r="E28" s="84">
        <v>83.97</v>
      </c>
      <c r="F28" s="82">
        <v>9.0</v>
      </c>
      <c r="G28" s="85">
        <f t="shared" si="1"/>
        <v>755.73</v>
      </c>
      <c r="H28" s="86" t="s">
        <v>12</v>
      </c>
      <c r="I28" s="86" t="s">
        <v>110</v>
      </c>
      <c r="J28" s="86" t="s">
        <v>111</v>
      </c>
      <c r="K28" s="86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68">
        <v>2020.0</v>
      </c>
      <c r="B29" s="68">
        <v>8.0</v>
      </c>
      <c r="C29" s="68">
        <v>31.0</v>
      </c>
      <c r="D29" s="69" t="s">
        <v>37</v>
      </c>
      <c r="E29" s="70">
        <v>54500.0</v>
      </c>
      <c r="F29" s="69">
        <v>10.0</v>
      </c>
      <c r="G29" s="71">
        <f t="shared" si="1"/>
        <v>545000</v>
      </c>
      <c r="H29" s="72" t="s">
        <v>7</v>
      </c>
      <c r="I29" s="72" t="s">
        <v>110</v>
      </c>
      <c r="J29" s="72" t="s">
        <v>111</v>
      </c>
      <c r="K29" s="87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82">
        <v>2020.0</v>
      </c>
      <c r="B30" s="82">
        <v>9.0</v>
      </c>
      <c r="C30" s="82">
        <v>1.0</v>
      </c>
      <c r="D30" s="82" t="s">
        <v>79</v>
      </c>
      <c r="E30" s="84">
        <v>132.35</v>
      </c>
      <c r="F30" s="82">
        <v>5.0</v>
      </c>
      <c r="G30" s="85">
        <f t="shared" si="1"/>
        <v>661.75</v>
      </c>
      <c r="H30" s="86" t="s">
        <v>12</v>
      </c>
      <c r="I30" s="86" t="s">
        <v>110</v>
      </c>
      <c r="J30" s="86" t="s">
        <v>111</v>
      </c>
      <c r="K30" s="86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82">
        <v>2020.0</v>
      </c>
      <c r="B31" s="82">
        <v>9.0</v>
      </c>
      <c r="C31" s="82">
        <v>1.0</v>
      </c>
      <c r="D31" s="82" t="s">
        <v>71</v>
      </c>
      <c r="E31" s="84">
        <v>83.55</v>
      </c>
      <c r="F31" s="82">
        <v>2.0</v>
      </c>
      <c r="G31" s="85">
        <f t="shared" si="1"/>
        <v>167.1</v>
      </c>
      <c r="H31" s="86" t="s">
        <v>12</v>
      </c>
      <c r="I31" s="86" t="s">
        <v>110</v>
      </c>
      <c r="J31" s="86" t="s">
        <v>111</v>
      </c>
      <c r="K31" s="86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74">
        <v>2020.0</v>
      </c>
      <c r="B32" s="74">
        <v>9.0</v>
      </c>
      <c r="C32" s="74">
        <v>10.0</v>
      </c>
      <c r="D32" s="79" t="s">
        <v>63</v>
      </c>
      <c r="E32" s="80">
        <v>50.1</v>
      </c>
      <c r="F32" s="75">
        <v>17.0</v>
      </c>
      <c r="G32" s="81">
        <f t="shared" si="1"/>
        <v>851.7</v>
      </c>
      <c r="H32" s="78" t="s">
        <v>12</v>
      </c>
      <c r="I32" s="78" t="s">
        <v>110</v>
      </c>
      <c r="J32" s="78" t="s">
        <v>111</v>
      </c>
      <c r="K32" s="88"/>
    </row>
    <row r="33">
      <c r="A33" s="82">
        <v>2020.0</v>
      </c>
      <c r="B33" s="82">
        <v>10.0</v>
      </c>
      <c r="C33" s="82">
        <v>15.0</v>
      </c>
      <c r="D33" s="82" t="s">
        <v>79</v>
      </c>
      <c r="E33" s="84">
        <v>119.15</v>
      </c>
      <c r="F33" s="82">
        <v>4.0</v>
      </c>
      <c r="G33" s="85">
        <f t="shared" si="1"/>
        <v>476.6</v>
      </c>
      <c r="H33" s="86" t="s">
        <v>12</v>
      </c>
      <c r="I33" s="86" t="s">
        <v>110</v>
      </c>
      <c r="J33" s="86" t="s">
        <v>111</v>
      </c>
      <c r="K33" s="86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82">
        <v>2020.0</v>
      </c>
      <c r="B34" s="82">
        <v>10.0</v>
      </c>
      <c r="C34" s="82">
        <v>15.0</v>
      </c>
      <c r="D34" s="82" t="s">
        <v>71</v>
      </c>
      <c r="E34" s="84">
        <v>83.1</v>
      </c>
      <c r="F34" s="82">
        <v>5.0</v>
      </c>
      <c r="G34" s="85">
        <f t="shared" si="1"/>
        <v>415.5</v>
      </c>
      <c r="H34" s="86" t="s">
        <v>12</v>
      </c>
      <c r="I34" s="86" t="s">
        <v>110</v>
      </c>
      <c r="J34" s="86" t="s">
        <v>111</v>
      </c>
      <c r="K34" s="86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82">
        <v>2020.0</v>
      </c>
      <c r="B35" s="82">
        <v>10.0</v>
      </c>
      <c r="C35" s="82">
        <v>20.0</v>
      </c>
      <c r="D35" s="83" t="s">
        <v>63</v>
      </c>
      <c r="E35" s="84">
        <v>49.8</v>
      </c>
      <c r="F35" s="82">
        <v>9.0</v>
      </c>
      <c r="G35" s="85">
        <f t="shared" si="1"/>
        <v>448.2</v>
      </c>
      <c r="H35" s="86" t="s">
        <v>12</v>
      </c>
      <c r="I35" s="86" t="s">
        <v>110</v>
      </c>
      <c r="J35" s="86" t="s">
        <v>111</v>
      </c>
      <c r="K35" s="86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68">
        <v>2020.0</v>
      </c>
      <c r="B36" s="68">
        <v>10.0</v>
      </c>
      <c r="C36" s="68">
        <v>20.0</v>
      </c>
      <c r="D36" s="69" t="s">
        <v>37</v>
      </c>
      <c r="E36" s="70">
        <v>59500.0</v>
      </c>
      <c r="F36" s="69">
        <v>10.0</v>
      </c>
      <c r="G36" s="71">
        <f t="shared" si="1"/>
        <v>595000</v>
      </c>
      <c r="H36" s="72" t="s">
        <v>7</v>
      </c>
      <c r="I36" s="72" t="s">
        <v>110</v>
      </c>
      <c r="J36" s="72" t="s">
        <v>111</v>
      </c>
      <c r="K36" s="87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82">
        <v>2020.0</v>
      </c>
      <c r="B37" s="82">
        <v>11.0</v>
      </c>
      <c r="C37" s="82">
        <v>25.0</v>
      </c>
      <c r="D37" s="83" t="s">
        <v>63</v>
      </c>
      <c r="E37" s="84">
        <v>52.95</v>
      </c>
      <c r="F37" s="82">
        <v>9.0</v>
      </c>
      <c r="G37" s="85">
        <f t="shared" si="1"/>
        <v>476.55</v>
      </c>
      <c r="H37" s="86" t="s">
        <v>12</v>
      </c>
      <c r="I37" s="86" t="s">
        <v>110</v>
      </c>
      <c r="J37" s="86" t="s">
        <v>111</v>
      </c>
      <c r="K37" s="86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74">
        <v>2020.0</v>
      </c>
      <c r="B38" s="74">
        <v>12.0</v>
      </c>
      <c r="C38" s="74">
        <v>3.0</v>
      </c>
      <c r="D38" s="79" t="s">
        <v>63</v>
      </c>
      <c r="E38" s="80">
        <v>51.4</v>
      </c>
      <c r="F38" s="75">
        <v>9.0</v>
      </c>
      <c r="G38" s="81">
        <f t="shared" si="1"/>
        <v>462.6</v>
      </c>
      <c r="H38" s="78" t="s">
        <v>12</v>
      </c>
      <c r="I38" s="78" t="s">
        <v>110</v>
      </c>
      <c r="J38" s="78" t="s">
        <v>111</v>
      </c>
      <c r="K38" s="88"/>
    </row>
    <row r="39">
      <c r="A39" s="82">
        <v>2021.0</v>
      </c>
      <c r="B39" s="82">
        <v>1.0</v>
      </c>
      <c r="C39" s="82">
        <v>5.0</v>
      </c>
      <c r="D39" s="83" t="s">
        <v>63</v>
      </c>
      <c r="E39" s="84">
        <v>52.75</v>
      </c>
      <c r="F39" s="82">
        <v>9.0</v>
      </c>
      <c r="G39" s="85">
        <f t="shared" si="1"/>
        <v>474.75</v>
      </c>
      <c r="H39" s="86" t="s">
        <v>12</v>
      </c>
      <c r="I39" s="86" t="s">
        <v>110</v>
      </c>
      <c r="J39" s="86" t="s">
        <v>111</v>
      </c>
      <c r="K39" s="86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74">
        <v>2021.0</v>
      </c>
      <c r="B40" s="74">
        <v>1.0</v>
      </c>
      <c r="C40" s="74">
        <v>11.0</v>
      </c>
      <c r="D40" s="75" t="s">
        <v>39</v>
      </c>
      <c r="E40" s="76">
        <v>74300.0</v>
      </c>
      <c r="F40" s="75">
        <v>5.0</v>
      </c>
      <c r="G40" s="77">
        <f t="shared" si="1"/>
        <v>371500</v>
      </c>
      <c r="H40" s="78" t="s">
        <v>7</v>
      </c>
      <c r="I40" s="78" t="s">
        <v>110</v>
      </c>
      <c r="J40" s="78" t="s">
        <v>111</v>
      </c>
      <c r="K40" s="88"/>
    </row>
    <row r="41">
      <c r="A41" s="68">
        <v>2021.0</v>
      </c>
      <c r="B41" s="68">
        <v>1.0</v>
      </c>
      <c r="C41" s="68">
        <v>18.0</v>
      </c>
      <c r="D41" s="69" t="s">
        <v>37</v>
      </c>
      <c r="E41" s="70">
        <v>89000.0</v>
      </c>
      <c r="F41" s="69">
        <v>8.0</v>
      </c>
      <c r="G41" s="71">
        <f t="shared" si="1"/>
        <v>712000</v>
      </c>
      <c r="H41" s="72" t="s">
        <v>7</v>
      </c>
      <c r="I41" s="72" t="s">
        <v>110</v>
      </c>
      <c r="J41" s="72" t="s">
        <v>111</v>
      </c>
      <c r="K41" s="87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68">
        <v>2021.0</v>
      </c>
      <c r="B42" s="68">
        <v>1.0</v>
      </c>
      <c r="C42" s="68">
        <v>28.0</v>
      </c>
      <c r="D42" s="69" t="s">
        <v>37</v>
      </c>
      <c r="E42" s="70">
        <v>87200.0</v>
      </c>
      <c r="F42" s="69">
        <v>6.0</v>
      </c>
      <c r="G42" s="71">
        <f t="shared" si="1"/>
        <v>523200</v>
      </c>
      <c r="H42" s="72" t="s">
        <v>7</v>
      </c>
      <c r="I42" s="72" t="s">
        <v>110</v>
      </c>
      <c r="J42" s="72" t="s">
        <v>111</v>
      </c>
      <c r="K42" s="87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68">
        <v>2021.0</v>
      </c>
      <c r="B43" s="89">
        <v>1.0</v>
      </c>
      <c r="C43" s="89">
        <v>28.0</v>
      </c>
      <c r="D43" s="90" t="s">
        <v>81</v>
      </c>
      <c r="E43" s="91">
        <v>16200.0</v>
      </c>
      <c r="F43" s="90">
        <v>5.0</v>
      </c>
      <c r="G43" s="92">
        <v>81000.0</v>
      </c>
      <c r="H43" s="72" t="s">
        <v>7</v>
      </c>
      <c r="I43" s="72" t="s">
        <v>110</v>
      </c>
      <c r="J43" s="72"/>
      <c r="K43" s="72"/>
      <c r="L43" s="9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68">
        <v>2021.0</v>
      </c>
      <c r="B44" s="89">
        <v>1.0</v>
      </c>
      <c r="C44" s="89">
        <v>29.0</v>
      </c>
      <c r="D44" s="90" t="s">
        <v>81</v>
      </c>
      <c r="E44" s="91">
        <v>16180.0</v>
      </c>
      <c r="F44" s="90">
        <v>5.0</v>
      </c>
      <c r="G44" s="92">
        <v>80900.0</v>
      </c>
      <c r="H44" s="72" t="s">
        <v>7</v>
      </c>
      <c r="I44" s="72" t="s">
        <v>110</v>
      </c>
      <c r="J44" s="72"/>
      <c r="K44" s="72"/>
      <c r="L44" s="9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68">
        <v>2021.0</v>
      </c>
      <c r="B45" s="68">
        <v>2.0</v>
      </c>
      <c r="C45" s="68">
        <v>4.0</v>
      </c>
      <c r="D45" s="69" t="s">
        <v>37</v>
      </c>
      <c r="E45" s="70">
        <v>82500.0</v>
      </c>
      <c r="F45" s="69">
        <v>5.0</v>
      </c>
      <c r="G45" s="71">
        <f t="shared" ref="G45:G46" si="2">sum(E45*F45)</f>
        <v>412500</v>
      </c>
      <c r="H45" s="72" t="s">
        <v>7</v>
      </c>
      <c r="I45" s="72" t="s">
        <v>110</v>
      </c>
      <c r="J45" s="72" t="s">
        <v>111</v>
      </c>
      <c r="K45" s="87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>
      <c r="A46" s="74">
        <v>2021.0</v>
      </c>
      <c r="B46" s="74">
        <v>2.0</v>
      </c>
      <c r="C46" s="74">
        <v>26.0</v>
      </c>
      <c r="D46" s="75" t="s">
        <v>37</v>
      </c>
      <c r="E46" s="76">
        <v>82200.0</v>
      </c>
      <c r="F46" s="75">
        <v>5.0</v>
      </c>
      <c r="G46" s="77">
        <f t="shared" si="2"/>
        <v>411000</v>
      </c>
      <c r="H46" s="78" t="s">
        <v>7</v>
      </c>
      <c r="I46" s="78" t="s">
        <v>110</v>
      </c>
      <c r="J46" s="78" t="s">
        <v>111</v>
      </c>
      <c r="K46" s="88"/>
    </row>
    <row r="47">
      <c r="A47" s="68">
        <v>2021.0</v>
      </c>
      <c r="B47" s="89">
        <v>2.0</v>
      </c>
      <c r="C47" s="89">
        <v>26.0</v>
      </c>
      <c r="D47" s="90" t="s">
        <v>81</v>
      </c>
      <c r="E47" s="91">
        <v>16515.0</v>
      </c>
      <c r="F47" s="90">
        <v>10.0</v>
      </c>
      <c r="G47" s="92">
        <v>165150.0</v>
      </c>
      <c r="H47" s="72" t="s">
        <v>7</v>
      </c>
      <c r="I47" s="72" t="s">
        <v>110</v>
      </c>
      <c r="J47" s="72"/>
      <c r="K47" s="72"/>
      <c r="L47" s="9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74">
        <v>2021.0</v>
      </c>
      <c r="B48" s="74">
        <v>3.0</v>
      </c>
      <c r="C48" s="74">
        <v>5.0</v>
      </c>
      <c r="D48" s="75" t="s">
        <v>90</v>
      </c>
      <c r="E48" s="76">
        <v>177500.0</v>
      </c>
      <c r="F48" s="75">
        <v>3.0</v>
      </c>
      <c r="G48" s="77">
        <f t="shared" ref="G48:G49" si="3">sum(E48*F48)</f>
        <v>532500</v>
      </c>
      <c r="H48" s="78" t="s">
        <v>7</v>
      </c>
      <c r="I48" s="78" t="s">
        <v>110</v>
      </c>
      <c r="J48" s="78" t="s">
        <v>111</v>
      </c>
      <c r="K48" s="88"/>
    </row>
    <row r="49">
      <c r="A49" s="94">
        <v>2021.0</v>
      </c>
      <c r="B49" s="94">
        <v>3.0</v>
      </c>
      <c r="C49" s="94">
        <v>8.0</v>
      </c>
      <c r="D49" s="94" t="s">
        <v>79</v>
      </c>
      <c r="E49" s="95">
        <v>119.5</v>
      </c>
      <c r="F49" s="94">
        <v>1.0</v>
      </c>
      <c r="G49" s="96">
        <f t="shared" si="3"/>
        <v>119.5</v>
      </c>
      <c r="H49" s="97" t="s">
        <v>12</v>
      </c>
      <c r="I49" s="97" t="s">
        <v>110</v>
      </c>
      <c r="J49" s="97" t="s">
        <v>111</v>
      </c>
      <c r="K49" s="97" t="s">
        <v>112</v>
      </c>
      <c r="L49" s="98" t="s">
        <v>113</v>
      </c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>
      <c r="A50" s="68">
        <v>2021.0</v>
      </c>
      <c r="B50" s="68">
        <v>3.0</v>
      </c>
      <c r="C50" s="89">
        <v>9.0</v>
      </c>
      <c r="D50" s="90" t="s">
        <v>81</v>
      </c>
      <c r="E50" s="91">
        <v>16530.0</v>
      </c>
      <c r="F50" s="90">
        <v>5.0</v>
      </c>
      <c r="G50" s="92">
        <v>82650.0</v>
      </c>
      <c r="H50" s="72" t="s">
        <v>7</v>
      </c>
      <c r="I50" s="72" t="s">
        <v>110</v>
      </c>
      <c r="J50" s="72" t="s">
        <v>111</v>
      </c>
      <c r="K50" s="72" t="s">
        <v>112</v>
      </c>
      <c r="L50" s="93" t="s">
        <v>113</v>
      </c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>
      <c r="A51" s="68">
        <v>2021.0</v>
      </c>
      <c r="B51" s="68">
        <v>3.0</v>
      </c>
      <c r="C51" s="89">
        <v>31.0</v>
      </c>
      <c r="D51" s="69" t="s">
        <v>37</v>
      </c>
      <c r="E51" s="70">
        <v>81000.0</v>
      </c>
      <c r="F51" s="69">
        <v>7.0</v>
      </c>
      <c r="G51" s="71">
        <f t="shared" ref="G51:G53" si="4">sum(E51*F51)</f>
        <v>567000</v>
      </c>
      <c r="H51" s="72" t="s">
        <v>7</v>
      </c>
      <c r="I51" s="72" t="s">
        <v>110</v>
      </c>
      <c r="J51" s="72" t="s">
        <v>111</v>
      </c>
      <c r="K51" s="72" t="s">
        <v>112</v>
      </c>
      <c r="L51" s="93" t="s">
        <v>113</v>
      </c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>
      <c r="A52" s="82">
        <v>2021.0</v>
      </c>
      <c r="B52" s="82">
        <v>4.0</v>
      </c>
      <c r="C52" s="82">
        <v>2.0</v>
      </c>
      <c r="D52" s="83" t="s">
        <v>85</v>
      </c>
      <c r="E52" s="84">
        <v>37.07</v>
      </c>
      <c r="F52" s="82">
        <v>1.0</v>
      </c>
      <c r="G52" s="85">
        <f t="shared" si="4"/>
        <v>37.07</v>
      </c>
      <c r="H52" s="86" t="s">
        <v>12</v>
      </c>
      <c r="I52" s="86" t="s">
        <v>110</v>
      </c>
      <c r="J52" s="86" t="s">
        <v>111</v>
      </c>
      <c r="K52" s="86" t="s">
        <v>114</v>
      </c>
      <c r="L52" s="98" t="s">
        <v>113</v>
      </c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99">
        <v>2021.0</v>
      </c>
      <c r="B53" s="99">
        <v>4.0</v>
      </c>
      <c r="C53" s="99">
        <v>20.0</v>
      </c>
      <c r="D53" s="99" t="s">
        <v>11</v>
      </c>
      <c r="E53" s="100">
        <f>sum(250.5/2)</f>
        <v>125.25</v>
      </c>
      <c r="F53" s="99">
        <v>2.0</v>
      </c>
      <c r="G53" s="101">
        <f t="shared" si="4"/>
        <v>250.5</v>
      </c>
      <c r="H53" s="102" t="s">
        <v>12</v>
      </c>
      <c r="I53" s="102" t="s">
        <v>110</v>
      </c>
      <c r="J53" s="102" t="s">
        <v>111</v>
      </c>
      <c r="K53" s="102" t="s">
        <v>112</v>
      </c>
      <c r="L53" s="103" t="s">
        <v>113</v>
      </c>
      <c r="M53" s="100">
        <v>250.5</v>
      </c>
      <c r="N53" s="99">
        <v>1.0</v>
      </c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68">
        <v>2021.0</v>
      </c>
      <c r="B54" s="89">
        <v>4.0</v>
      </c>
      <c r="C54" s="89">
        <v>21.0</v>
      </c>
      <c r="D54" s="90" t="s">
        <v>81</v>
      </c>
      <c r="E54" s="91">
        <v>17500.0</v>
      </c>
      <c r="F54" s="90">
        <v>3.0</v>
      </c>
      <c r="G54" s="92">
        <v>52500.0</v>
      </c>
      <c r="H54" s="72" t="s">
        <v>7</v>
      </c>
      <c r="I54" s="72" t="s">
        <v>110</v>
      </c>
      <c r="J54" s="72"/>
      <c r="K54" s="72"/>
      <c r="L54" s="9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>
      <c r="A55" s="99">
        <v>2021.0</v>
      </c>
      <c r="B55" s="99">
        <v>4.0</v>
      </c>
      <c r="C55" s="99">
        <v>29.0</v>
      </c>
      <c r="D55" s="99" t="s">
        <v>11</v>
      </c>
      <c r="E55" s="100">
        <f>sum(248.3/2)</f>
        <v>124.15</v>
      </c>
      <c r="F55" s="99">
        <v>2.0</v>
      </c>
      <c r="G55" s="101">
        <f t="shared" ref="G55:G56" si="5">sum(E55*F55)</f>
        <v>248.3</v>
      </c>
      <c r="H55" s="102" t="s">
        <v>12</v>
      </c>
      <c r="I55" s="102" t="s">
        <v>110</v>
      </c>
      <c r="J55" s="102" t="s">
        <v>111</v>
      </c>
      <c r="K55" s="102" t="s">
        <v>112</v>
      </c>
      <c r="L55" s="103" t="s">
        <v>113</v>
      </c>
      <c r="M55" s="100">
        <v>248.3</v>
      </c>
      <c r="N55" s="99">
        <v>1.0</v>
      </c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68">
        <v>2021.0</v>
      </c>
      <c r="B56" s="89">
        <v>5.0</v>
      </c>
      <c r="C56" s="89">
        <v>4.0</v>
      </c>
      <c r="D56" s="69" t="s">
        <v>37</v>
      </c>
      <c r="E56" s="70">
        <v>81700.0</v>
      </c>
      <c r="F56" s="69">
        <v>6.0</v>
      </c>
      <c r="G56" s="71">
        <f t="shared" si="5"/>
        <v>490200</v>
      </c>
      <c r="H56" s="72" t="s">
        <v>7</v>
      </c>
      <c r="I56" s="72" t="s">
        <v>110</v>
      </c>
      <c r="J56" s="72" t="s">
        <v>111</v>
      </c>
      <c r="K56" s="72" t="s">
        <v>112</v>
      </c>
      <c r="L56" s="93" t="s">
        <v>113</v>
      </c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>
      <c r="A57" s="68">
        <v>2021.0</v>
      </c>
      <c r="B57" s="89">
        <v>5.0</v>
      </c>
      <c r="C57" s="89">
        <v>4.0</v>
      </c>
      <c r="D57" s="90" t="s">
        <v>81</v>
      </c>
      <c r="E57" s="91">
        <v>16840.0</v>
      </c>
      <c r="F57" s="90">
        <v>1.0</v>
      </c>
      <c r="G57" s="92">
        <v>16840.0</v>
      </c>
      <c r="H57" s="72" t="s">
        <v>7</v>
      </c>
      <c r="I57" s="72" t="s">
        <v>110</v>
      </c>
      <c r="J57" s="72" t="s">
        <v>111</v>
      </c>
      <c r="K57" s="72" t="s">
        <v>112</v>
      </c>
      <c r="L57" s="93" t="s">
        <v>113</v>
      </c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>
      <c r="A58" s="99">
        <v>2021.0</v>
      </c>
      <c r="B58" s="99">
        <v>5.0</v>
      </c>
      <c r="C58" s="99">
        <v>5.0</v>
      </c>
      <c r="D58" s="99" t="s">
        <v>11</v>
      </c>
      <c r="E58" s="100">
        <f>sum(234.7/2)</f>
        <v>117.35</v>
      </c>
      <c r="F58" s="99">
        <v>4.0</v>
      </c>
      <c r="G58" s="101">
        <f t="shared" ref="G58:G68" si="6">sum(E58*F58)</f>
        <v>469.4</v>
      </c>
      <c r="H58" s="102" t="s">
        <v>12</v>
      </c>
      <c r="I58" s="102" t="s">
        <v>110</v>
      </c>
      <c r="J58" s="102" t="s">
        <v>111</v>
      </c>
      <c r="K58" s="102" t="s">
        <v>112</v>
      </c>
      <c r="L58" s="103" t="s">
        <v>113</v>
      </c>
      <c r="M58" s="100">
        <v>234.7</v>
      </c>
      <c r="N58" s="99">
        <v>2.0</v>
      </c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99">
        <v>2021.0</v>
      </c>
      <c r="B59" s="99">
        <v>5.0</v>
      </c>
      <c r="C59" s="99">
        <v>10.0</v>
      </c>
      <c r="D59" s="99" t="s">
        <v>11</v>
      </c>
      <c r="E59" s="100">
        <f>sum(236.5/2)</f>
        <v>118.25</v>
      </c>
      <c r="F59" s="99">
        <v>2.0</v>
      </c>
      <c r="G59" s="101">
        <f t="shared" si="6"/>
        <v>236.5</v>
      </c>
      <c r="H59" s="102" t="s">
        <v>12</v>
      </c>
      <c r="I59" s="102" t="s">
        <v>110</v>
      </c>
      <c r="J59" s="102" t="s">
        <v>111</v>
      </c>
      <c r="K59" s="102" t="s">
        <v>112</v>
      </c>
      <c r="L59" s="103" t="s">
        <v>113</v>
      </c>
      <c r="M59" s="100">
        <v>236.5</v>
      </c>
      <c r="N59" s="99">
        <v>1.0</v>
      </c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99">
        <v>2021.0</v>
      </c>
      <c r="B60" s="99">
        <v>5.0</v>
      </c>
      <c r="C60" s="99">
        <v>11.0</v>
      </c>
      <c r="D60" s="99" t="s">
        <v>11</v>
      </c>
      <c r="E60" s="100">
        <f>sum(226.73/2)</f>
        <v>113.365</v>
      </c>
      <c r="F60" s="99">
        <v>2.0</v>
      </c>
      <c r="G60" s="101">
        <f t="shared" si="6"/>
        <v>226.73</v>
      </c>
      <c r="H60" s="102" t="s">
        <v>12</v>
      </c>
      <c r="I60" s="102" t="s">
        <v>110</v>
      </c>
      <c r="J60" s="102" t="s">
        <v>111</v>
      </c>
      <c r="K60" s="102" t="s">
        <v>112</v>
      </c>
      <c r="L60" s="103" t="s">
        <v>113</v>
      </c>
      <c r="M60" s="100">
        <v>226.73</v>
      </c>
      <c r="N60" s="99">
        <v>1.0</v>
      </c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68">
        <v>2021.0</v>
      </c>
      <c r="B61" s="68">
        <v>5.0</v>
      </c>
      <c r="C61" s="89">
        <v>28.0</v>
      </c>
      <c r="D61" s="69" t="s">
        <v>37</v>
      </c>
      <c r="E61" s="70">
        <v>79800.0</v>
      </c>
      <c r="F61" s="69">
        <v>5.0</v>
      </c>
      <c r="G61" s="71">
        <f t="shared" si="6"/>
        <v>399000</v>
      </c>
      <c r="H61" s="72" t="s">
        <v>7</v>
      </c>
      <c r="I61" s="72" t="s">
        <v>110</v>
      </c>
      <c r="J61" s="72" t="s">
        <v>111</v>
      </c>
      <c r="K61" s="72" t="s">
        <v>112</v>
      </c>
      <c r="L61" s="93" t="s">
        <v>113</v>
      </c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>
      <c r="A62" s="68">
        <v>2021.0</v>
      </c>
      <c r="B62" s="68">
        <v>5.0</v>
      </c>
      <c r="C62" s="89">
        <v>31.0</v>
      </c>
      <c r="D62" s="69" t="s">
        <v>37</v>
      </c>
      <c r="E62" s="70">
        <v>79200.0</v>
      </c>
      <c r="F62" s="69">
        <v>1.0</v>
      </c>
      <c r="G62" s="71">
        <f t="shared" si="6"/>
        <v>79200</v>
      </c>
      <c r="H62" s="72" t="s">
        <v>7</v>
      </c>
      <c r="I62" s="72" t="s">
        <v>110</v>
      </c>
      <c r="J62" s="72" t="s">
        <v>111</v>
      </c>
      <c r="K62" s="72" t="s">
        <v>112</v>
      </c>
      <c r="L62" s="93" t="s">
        <v>113</v>
      </c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>
      <c r="A63" s="99">
        <v>2021.0</v>
      </c>
      <c r="B63" s="99">
        <v>7.0</v>
      </c>
      <c r="C63" s="99">
        <v>2.0</v>
      </c>
      <c r="D63" s="99" t="s">
        <v>11</v>
      </c>
      <c r="E63" s="100">
        <f>sum(258.25/2)</f>
        <v>129.125</v>
      </c>
      <c r="F63" s="99">
        <v>2.0</v>
      </c>
      <c r="G63" s="101">
        <f t="shared" si="6"/>
        <v>258.25</v>
      </c>
      <c r="H63" s="102" t="s">
        <v>12</v>
      </c>
      <c r="I63" s="102" t="s">
        <v>110</v>
      </c>
      <c r="J63" s="102" t="s">
        <v>111</v>
      </c>
      <c r="K63" s="102"/>
      <c r="L63" s="103"/>
      <c r="M63" s="100">
        <v>258.25</v>
      </c>
      <c r="N63" s="99">
        <v>1.0</v>
      </c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68">
        <v>2021.0</v>
      </c>
      <c r="B64" s="68">
        <v>7.0</v>
      </c>
      <c r="C64" s="89">
        <v>5.0</v>
      </c>
      <c r="D64" s="69" t="s">
        <v>37</v>
      </c>
      <c r="E64" s="70">
        <v>80100.0</v>
      </c>
      <c r="F64" s="69">
        <v>5.0</v>
      </c>
      <c r="G64" s="71">
        <f t="shared" si="6"/>
        <v>400500</v>
      </c>
      <c r="H64" s="72" t="s">
        <v>7</v>
      </c>
      <c r="I64" s="72" t="s">
        <v>110</v>
      </c>
      <c r="J64" s="72" t="s">
        <v>111</v>
      </c>
      <c r="K64" s="72" t="s">
        <v>112</v>
      </c>
      <c r="L64" s="93" t="s">
        <v>113</v>
      </c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>
      <c r="A65" s="74">
        <v>2021.0</v>
      </c>
      <c r="B65" s="74">
        <v>7.0</v>
      </c>
      <c r="C65" s="74">
        <v>7.0</v>
      </c>
      <c r="D65" s="75" t="s">
        <v>37</v>
      </c>
      <c r="E65" s="76">
        <v>80500.0</v>
      </c>
      <c r="F65" s="75">
        <v>2.0</v>
      </c>
      <c r="G65" s="77">
        <f t="shared" si="6"/>
        <v>161000</v>
      </c>
      <c r="H65" s="78" t="s">
        <v>7</v>
      </c>
      <c r="I65" s="78" t="s">
        <v>110</v>
      </c>
      <c r="J65" s="78" t="s">
        <v>111</v>
      </c>
      <c r="K65" s="88"/>
    </row>
    <row r="66">
      <c r="A66" s="68">
        <v>2021.0</v>
      </c>
      <c r="B66" s="68">
        <v>7.0</v>
      </c>
      <c r="C66" s="89">
        <v>12.0</v>
      </c>
      <c r="D66" s="69" t="s">
        <v>37</v>
      </c>
      <c r="E66" s="70">
        <v>80100.0</v>
      </c>
      <c r="F66" s="69">
        <v>2.0</v>
      </c>
      <c r="G66" s="71">
        <f t="shared" si="6"/>
        <v>160200</v>
      </c>
      <c r="H66" s="72" t="s">
        <v>7</v>
      </c>
      <c r="I66" s="72" t="s">
        <v>110</v>
      </c>
      <c r="J66" s="72" t="s">
        <v>111</v>
      </c>
      <c r="K66" s="72" t="s">
        <v>112</v>
      </c>
      <c r="L66" s="93" t="s">
        <v>113</v>
      </c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>
      <c r="A67" s="68">
        <v>2021.0</v>
      </c>
      <c r="B67" s="89">
        <v>8.0</v>
      </c>
      <c r="C67" s="89">
        <v>3.0</v>
      </c>
      <c r="D67" s="69" t="s">
        <v>37</v>
      </c>
      <c r="E67" s="70">
        <v>78500.0</v>
      </c>
      <c r="F67" s="69">
        <v>5.0</v>
      </c>
      <c r="G67" s="71">
        <f t="shared" si="6"/>
        <v>392500</v>
      </c>
      <c r="H67" s="72" t="s">
        <v>7</v>
      </c>
      <c r="I67" s="72" t="s">
        <v>110</v>
      </c>
      <c r="J67" s="72" t="s">
        <v>111</v>
      </c>
      <c r="K67" s="72" t="s">
        <v>112</v>
      </c>
      <c r="L67" s="93" t="s">
        <v>113</v>
      </c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>
      <c r="A68" s="99">
        <v>2021.0</v>
      </c>
      <c r="B68" s="99">
        <v>8.0</v>
      </c>
      <c r="C68" s="99">
        <v>10.0</v>
      </c>
      <c r="D68" s="99" t="s">
        <v>11</v>
      </c>
      <c r="E68" s="100">
        <f>sum(266.3/2)</f>
        <v>133.15</v>
      </c>
      <c r="F68" s="99">
        <v>2.0</v>
      </c>
      <c r="G68" s="101">
        <f t="shared" si="6"/>
        <v>266.3</v>
      </c>
      <c r="H68" s="102" t="s">
        <v>12</v>
      </c>
      <c r="I68" s="102" t="s">
        <v>110</v>
      </c>
      <c r="J68" s="102" t="s">
        <v>111</v>
      </c>
      <c r="K68" s="102" t="s">
        <v>112</v>
      </c>
      <c r="L68" s="103" t="s">
        <v>113</v>
      </c>
      <c r="M68" s="100">
        <v>266.3</v>
      </c>
      <c r="N68" s="99">
        <v>1.0</v>
      </c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89">
        <v>2021.0</v>
      </c>
      <c r="B69" s="89">
        <v>8.0</v>
      </c>
      <c r="C69" s="89">
        <v>11.0</v>
      </c>
      <c r="D69" s="90" t="s">
        <v>81</v>
      </c>
      <c r="E69" s="91">
        <v>19035.0</v>
      </c>
      <c r="F69" s="90">
        <v>5.0</v>
      </c>
      <c r="G69" s="92">
        <v>95175.0</v>
      </c>
      <c r="H69" s="72" t="s">
        <v>7</v>
      </c>
      <c r="I69" s="72" t="s">
        <v>110</v>
      </c>
      <c r="J69" s="72"/>
      <c r="K69" s="72"/>
      <c r="L69" s="9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>
      <c r="A70" s="89">
        <v>2021.0</v>
      </c>
      <c r="B70" s="89">
        <v>8.0</v>
      </c>
      <c r="C70" s="89">
        <v>11.0</v>
      </c>
      <c r="D70" s="90" t="s">
        <v>81</v>
      </c>
      <c r="E70" s="91">
        <v>19040.0</v>
      </c>
      <c r="F70" s="90">
        <v>26.0</v>
      </c>
      <c r="G70" s="92">
        <v>495040.0</v>
      </c>
      <c r="H70" s="72" t="s">
        <v>7</v>
      </c>
      <c r="I70" s="72" t="s">
        <v>110</v>
      </c>
      <c r="J70" s="72" t="s">
        <v>111</v>
      </c>
      <c r="K70" s="72" t="s">
        <v>115</v>
      </c>
      <c r="L70" s="9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>
      <c r="A71" s="99">
        <v>2021.0</v>
      </c>
      <c r="B71" s="99">
        <v>8.0</v>
      </c>
      <c r="C71" s="99">
        <v>12.0</v>
      </c>
      <c r="D71" s="99" t="s">
        <v>11</v>
      </c>
      <c r="E71" s="100">
        <f>sum(259.5/2)</f>
        <v>129.75</v>
      </c>
      <c r="F71" s="99">
        <v>2.0</v>
      </c>
      <c r="G71" s="101">
        <f t="shared" ref="G71:G73" si="7">sum(E71*F71)</f>
        <v>259.5</v>
      </c>
      <c r="H71" s="102" t="s">
        <v>12</v>
      </c>
      <c r="I71" s="102" t="s">
        <v>110</v>
      </c>
      <c r="J71" s="102" t="s">
        <v>111</v>
      </c>
      <c r="K71" s="102" t="s">
        <v>112</v>
      </c>
      <c r="L71" s="103" t="s">
        <v>113</v>
      </c>
      <c r="M71" s="100">
        <v>259.5</v>
      </c>
      <c r="N71" s="99">
        <v>1.0</v>
      </c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74">
        <v>2021.0</v>
      </c>
      <c r="B72" s="74">
        <v>8.0</v>
      </c>
      <c r="C72" s="74">
        <v>12.0</v>
      </c>
      <c r="D72" s="75" t="s">
        <v>37</v>
      </c>
      <c r="E72" s="76">
        <v>77500.0</v>
      </c>
      <c r="F72" s="75">
        <v>7.0</v>
      </c>
      <c r="G72" s="77">
        <f t="shared" si="7"/>
        <v>542500</v>
      </c>
      <c r="H72" s="78" t="s">
        <v>7</v>
      </c>
      <c r="I72" s="78" t="s">
        <v>110</v>
      </c>
      <c r="J72" s="78" t="s">
        <v>111</v>
      </c>
      <c r="K72" s="88"/>
    </row>
    <row r="73">
      <c r="A73" s="74">
        <v>2021.0</v>
      </c>
      <c r="B73" s="74">
        <v>8.0</v>
      </c>
      <c r="C73" s="74">
        <v>13.0</v>
      </c>
      <c r="D73" s="75" t="s">
        <v>37</v>
      </c>
      <c r="E73" s="76">
        <v>74100.0</v>
      </c>
      <c r="F73" s="75">
        <v>7.0</v>
      </c>
      <c r="G73" s="77">
        <f t="shared" si="7"/>
        <v>518700</v>
      </c>
      <c r="H73" s="78" t="s">
        <v>7</v>
      </c>
      <c r="I73" s="78" t="s">
        <v>110</v>
      </c>
      <c r="J73" s="78" t="s">
        <v>111</v>
      </c>
      <c r="K73" s="88"/>
    </row>
    <row r="74">
      <c r="A74" s="89">
        <v>2021.0</v>
      </c>
      <c r="B74" s="89">
        <v>8.0</v>
      </c>
      <c r="C74" s="89">
        <v>13.0</v>
      </c>
      <c r="D74" s="90" t="s">
        <v>81</v>
      </c>
      <c r="E74" s="91">
        <v>18650.0</v>
      </c>
      <c r="F74" s="90">
        <v>10.0</v>
      </c>
      <c r="G74" s="92">
        <v>186500.0</v>
      </c>
      <c r="H74" s="72" t="s">
        <v>7</v>
      </c>
      <c r="I74" s="72" t="s">
        <v>110</v>
      </c>
      <c r="J74" s="72"/>
      <c r="K74" s="72"/>
      <c r="L74" s="9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>
      <c r="A75" s="99">
        <v>2021.0</v>
      </c>
      <c r="B75" s="99">
        <v>8.0</v>
      </c>
      <c r="C75" s="99">
        <v>16.0</v>
      </c>
      <c r="D75" s="99" t="s">
        <v>11</v>
      </c>
      <c r="E75" s="100">
        <f>sum(260.15/2)</f>
        <v>130.075</v>
      </c>
      <c r="F75" s="99">
        <v>4.0</v>
      </c>
      <c r="G75" s="101">
        <f>sum(E75*F75)</f>
        <v>520.3</v>
      </c>
      <c r="H75" s="102" t="s">
        <v>12</v>
      </c>
      <c r="I75" s="102" t="s">
        <v>110</v>
      </c>
      <c r="J75" s="102" t="s">
        <v>111</v>
      </c>
      <c r="K75" s="102" t="s">
        <v>112</v>
      </c>
      <c r="L75" s="103" t="s">
        <v>113</v>
      </c>
      <c r="M75" s="100">
        <v>260.15</v>
      </c>
      <c r="N75" s="99">
        <v>2.0</v>
      </c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89">
        <v>2021.0</v>
      </c>
      <c r="B76" s="89">
        <v>8.0</v>
      </c>
      <c r="C76" s="89">
        <v>17.0</v>
      </c>
      <c r="D76" s="90" t="s">
        <v>81</v>
      </c>
      <c r="E76" s="91">
        <v>18300.0</v>
      </c>
      <c r="F76" s="90">
        <v>10.0</v>
      </c>
      <c r="G76" s="92">
        <v>183000.0</v>
      </c>
      <c r="H76" s="72" t="s">
        <v>7</v>
      </c>
      <c r="I76" s="72" t="s">
        <v>110</v>
      </c>
      <c r="J76" s="72"/>
      <c r="K76" s="72"/>
      <c r="L76" s="9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>
      <c r="A77" s="74">
        <v>2021.0</v>
      </c>
      <c r="B77" s="74">
        <v>8.0</v>
      </c>
      <c r="C77" s="74">
        <v>19.0</v>
      </c>
      <c r="D77" s="79" t="s">
        <v>32</v>
      </c>
      <c r="E77" s="76">
        <v>11465.0</v>
      </c>
      <c r="F77" s="75">
        <v>49.0</v>
      </c>
      <c r="G77" s="77">
        <f>sum(E77*F77)</f>
        <v>561785</v>
      </c>
      <c r="H77" s="78" t="s">
        <v>7</v>
      </c>
      <c r="I77" s="78" t="s">
        <v>110</v>
      </c>
      <c r="J77" s="78" t="s">
        <v>111</v>
      </c>
      <c r="K77" s="88"/>
    </row>
    <row r="78">
      <c r="A78" s="89">
        <v>2021.0</v>
      </c>
      <c r="B78" s="89">
        <v>9.0</v>
      </c>
      <c r="C78" s="89">
        <v>8.0</v>
      </c>
      <c r="D78" s="90" t="s">
        <v>81</v>
      </c>
      <c r="E78" s="91">
        <v>17420.0</v>
      </c>
      <c r="F78" s="90">
        <v>15.0</v>
      </c>
      <c r="G78" s="92">
        <v>261300.0</v>
      </c>
      <c r="H78" s="72" t="s">
        <v>7</v>
      </c>
      <c r="I78" s="72" t="s">
        <v>110</v>
      </c>
      <c r="J78" s="72"/>
      <c r="K78" s="72"/>
      <c r="L78" s="9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>
      <c r="A79" s="74">
        <v>2021.0</v>
      </c>
      <c r="B79" s="74">
        <v>9.0</v>
      </c>
      <c r="C79" s="74">
        <v>28.0</v>
      </c>
      <c r="D79" s="75" t="s">
        <v>37</v>
      </c>
      <c r="E79" s="76">
        <v>74000.0</v>
      </c>
      <c r="F79" s="75">
        <v>4.0</v>
      </c>
      <c r="G79" s="77">
        <f t="shared" ref="G79:G85" si="8">sum(E79*F79)</f>
        <v>296000</v>
      </c>
      <c r="H79" s="78" t="s">
        <v>7</v>
      </c>
      <c r="I79" s="78" t="s">
        <v>110</v>
      </c>
      <c r="J79" s="78" t="s">
        <v>111</v>
      </c>
      <c r="K79" s="88"/>
    </row>
    <row r="80">
      <c r="A80" s="74">
        <v>2021.0</v>
      </c>
      <c r="B80" s="74">
        <v>9.0</v>
      </c>
      <c r="C80" s="74">
        <v>29.0</v>
      </c>
      <c r="D80" s="75" t="s">
        <v>37</v>
      </c>
      <c r="E80" s="76">
        <v>76500.0</v>
      </c>
      <c r="F80" s="75">
        <v>5.0</v>
      </c>
      <c r="G80" s="77">
        <f t="shared" si="8"/>
        <v>382500</v>
      </c>
      <c r="H80" s="78" t="s">
        <v>7</v>
      </c>
      <c r="I80" s="78" t="s">
        <v>110</v>
      </c>
      <c r="J80" s="78" t="s">
        <v>111</v>
      </c>
      <c r="K80" s="88"/>
    </row>
    <row r="81">
      <c r="A81" s="94">
        <v>2021.0</v>
      </c>
      <c r="B81" s="94">
        <v>11.0</v>
      </c>
      <c r="C81" s="94">
        <v>20.0</v>
      </c>
      <c r="D81" s="94" t="s">
        <v>71</v>
      </c>
      <c r="E81" s="95">
        <v>108.9</v>
      </c>
      <c r="F81" s="94">
        <v>1.0</v>
      </c>
      <c r="G81" s="96">
        <f t="shared" si="8"/>
        <v>108.9</v>
      </c>
      <c r="H81" s="97" t="s">
        <v>12</v>
      </c>
      <c r="I81" s="97" t="s">
        <v>110</v>
      </c>
      <c r="J81" s="97" t="s">
        <v>111</v>
      </c>
      <c r="K81" s="97" t="s">
        <v>112</v>
      </c>
      <c r="L81" s="98" t="s">
        <v>113</v>
      </c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>
      <c r="A82" s="74">
        <v>2021.0</v>
      </c>
      <c r="B82" s="74">
        <v>11.0</v>
      </c>
      <c r="C82" s="74">
        <v>22.0</v>
      </c>
      <c r="D82" s="79" t="s">
        <v>32</v>
      </c>
      <c r="E82" s="76">
        <v>12210.0</v>
      </c>
      <c r="F82" s="75">
        <v>4.0</v>
      </c>
      <c r="G82" s="77">
        <f t="shared" si="8"/>
        <v>48840</v>
      </c>
      <c r="H82" s="78" t="s">
        <v>7</v>
      </c>
      <c r="I82" s="78" t="s">
        <v>110</v>
      </c>
      <c r="J82" s="78" t="s">
        <v>111</v>
      </c>
      <c r="K82" s="88"/>
    </row>
    <row r="83">
      <c r="A83" s="68">
        <v>2022.0</v>
      </c>
      <c r="B83" s="68">
        <v>2.0</v>
      </c>
      <c r="C83" s="68">
        <v>15.0</v>
      </c>
      <c r="D83" s="90" t="s">
        <v>41</v>
      </c>
      <c r="E83" s="104">
        <v>293.4</v>
      </c>
      <c r="F83" s="69">
        <v>2.0</v>
      </c>
      <c r="G83" s="105">
        <f t="shared" si="8"/>
        <v>586.8</v>
      </c>
      <c r="H83" s="72" t="s">
        <v>12</v>
      </c>
      <c r="I83" s="72" t="s">
        <v>110</v>
      </c>
      <c r="J83" s="72" t="s">
        <v>111</v>
      </c>
      <c r="K83" s="72" t="s">
        <v>112</v>
      </c>
      <c r="L83" s="93" t="s">
        <v>113</v>
      </c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>
      <c r="A84" s="68">
        <v>2022.0</v>
      </c>
      <c r="B84" s="68">
        <v>2.0</v>
      </c>
      <c r="C84" s="89">
        <v>16.0</v>
      </c>
      <c r="D84" s="69" t="s">
        <v>37</v>
      </c>
      <c r="E84" s="70">
        <v>74000.0</v>
      </c>
      <c r="F84" s="69">
        <v>8.0</v>
      </c>
      <c r="G84" s="71">
        <f t="shared" si="8"/>
        <v>592000</v>
      </c>
      <c r="H84" s="72" t="s">
        <v>7</v>
      </c>
      <c r="I84" s="72" t="s">
        <v>110</v>
      </c>
      <c r="J84" s="72" t="s">
        <v>111</v>
      </c>
      <c r="K84" s="72" t="s">
        <v>112</v>
      </c>
      <c r="L84" s="93" t="s">
        <v>113</v>
      </c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>
      <c r="A85" s="68">
        <v>2022.0</v>
      </c>
      <c r="B85" s="68">
        <v>3.0</v>
      </c>
      <c r="C85" s="89">
        <v>8.0</v>
      </c>
      <c r="D85" s="69" t="s">
        <v>37</v>
      </c>
      <c r="E85" s="70">
        <v>71500.0</v>
      </c>
      <c r="F85" s="69">
        <v>14.0</v>
      </c>
      <c r="G85" s="71">
        <f t="shared" si="8"/>
        <v>1001000</v>
      </c>
      <c r="H85" s="72" t="s">
        <v>7</v>
      </c>
      <c r="I85" s="72" t="s">
        <v>110</v>
      </c>
      <c r="J85" s="72" t="s">
        <v>111</v>
      </c>
      <c r="K85" s="72" t="s">
        <v>112</v>
      </c>
      <c r="L85" s="93" t="s">
        <v>113</v>
      </c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>
      <c r="A86" s="68">
        <v>2022.0</v>
      </c>
      <c r="B86" s="68">
        <v>4.0</v>
      </c>
      <c r="C86" s="68">
        <v>6.0</v>
      </c>
      <c r="D86" s="90" t="s">
        <v>85</v>
      </c>
      <c r="E86" s="106">
        <v>40.69</v>
      </c>
      <c r="F86" s="90">
        <v>0.056524</v>
      </c>
      <c r="G86" s="72">
        <v>2.29</v>
      </c>
      <c r="H86" s="72" t="s">
        <v>12</v>
      </c>
      <c r="I86" s="72" t="s">
        <v>110</v>
      </c>
      <c r="J86" s="72" t="s">
        <v>111</v>
      </c>
      <c r="K86" s="72" t="s">
        <v>116</v>
      </c>
      <c r="L86" s="93" t="s">
        <v>113</v>
      </c>
      <c r="M86" s="93" t="s">
        <v>113</v>
      </c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>
      <c r="A87" s="68">
        <v>2022.0</v>
      </c>
      <c r="B87" s="68">
        <v>4.0</v>
      </c>
      <c r="C87" s="68">
        <v>8.0</v>
      </c>
      <c r="D87" s="90" t="s">
        <v>71</v>
      </c>
      <c r="E87" s="104">
        <v>111.81</v>
      </c>
      <c r="F87" s="69">
        <v>1.0</v>
      </c>
      <c r="G87" s="105">
        <f t="shared" ref="G87:G99" si="9">sum(E87*F87)</f>
        <v>111.81</v>
      </c>
      <c r="H87" s="72" t="s">
        <v>12</v>
      </c>
      <c r="I87" s="72" t="s">
        <v>110</v>
      </c>
      <c r="J87" s="72" t="s">
        <v>111</v>
      </c>
      <c r="K87" s="72" t="s">
        <v>112</v>
      </c>
      <c r="L87" s="93" t="s">
        <v>113</v>
      </c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>
      <c r="A88" s="68">
        <v>2022.0</v>
      </c>
      <c r="B88" s="68">
        <v>4.0</v>
      </c>
      <c r="C88" s="89">
        <v>11.0</v>
      </c>
      <c r="D88" s="107" t="s">
        <v>73</v>
      </c>
      <c r="E88" s="104">
        <f>sum(452.26/3)</f>
        <v>150.7533333</v>
      </c>
      <c r="F88" s="90">
        <v>3.0</v>
      </c>
      <c r="G88" s="105">
        <f t="shared" si="9"/>
        <v>452.26</v>
      </c>
      <c r="H88" s="72" t="s">
        <v>12</v>
      </c>
      <c r="I88" s="72" t="s">
        <v>110</v>
      </c>
      <c r="J88" s="72" t="s">
        <v>111</v>
      </c>
      <c r="K88" s="72" t="s">
        <v>112</v>
      </c>
      <c r="L88" s="93" t="s">
        <v>113</v>
      </c>
      <c r="M88" s="93" t="s">
        <v>117</v>
      </c>
      <c r="N88" s="104">
        <v>452.26</v>
      </c>
      <c r="O88" s="69">
        <v>1.0</v>
      </c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>
      <c r="A89" s="68">
        <v>2022.0</v>
      </c>
      <c r="B89" s="68">
        <v>4.0</v>
      </c>
      <c r="C89" s="89">
        <v>14.0</v>
      </c>
      <c r="D89" s="69" t="s">
        <v>37</v>
      </c>
      <c r="E89" s="70">
        <v>67100.0</v>
      </c>
      <c r="F89" s="69">
        <v>7.0</v>
      </c>
      <c r="G89" s="71">
        <f t="shared" si="9"/>
        <v>469700</v>
      </c>
      <c r="H89" s="72" t="s">
        <v>7</v>
      </c>
      <c r="I89" s="72" t="s">
        <v>110</v>
      </c>
      <c r="J89" s="72" t="s">
        <v>111</v>
      </c>
      <c r="K89" s="72" t="s">
        <v>112</v>
      </c>
      <c r="L89" s="93" t="s">
        <v>113</v>
      </c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>
      <c r="A90" s="68">
        <v>2022.0</v>
      </c>
      <c r="B90" s="68">
        <v>4.0</v>
      </c>
      <c r="C90" s="68">
        <v>26.0</v>
      </c>
      <c r="D90" s="69" t="s">
        <v>37</v>
      </c>
      <c r="E90" s="70">
        <v>66700.0</v>
      </c>
      <c r="F90" s="69">
        <v>1.0</v>
      </c>
      <c r="G90" s="71">
        <f t="shared" si="9"/>
        <v>66700</v>
      </c>
      <c r="H90" s="72" t="s">
        <v>7</v>
      </c>
      <c r="I90" s="72" t="s">
        <v>110</v>
      </c>
      <c r="J90" s="72" t="s">
        <v>111</v>
      </c>
      <c r="K90" s="72" t="s">
        <v>112</v>
      </c>
      <c r="L90" s="93" t="s">
        <v>113</v>
      </c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>
      <c r="A91" s="68">
        <v>2022.0</v>
      </c>
      <c r="B91" s="68">
        <v>4.0</v>
      </c>
      <c r="C91" s="68">
        <v>27.0</v>
      </c>
      <c r="D91" s="69" t="s">
        <v>79</v>
      </c>
      <c r="E91" s="104">
        <v>159.54</v>
      </c>
      <c r="F91" s="69">
        <v>3.0</v>
      </c>
      <c r="G91" s="105">
        <f t="shared" si="9"/>
        <v>478.62</v>
      </c>
      <c r="H91" s="72" t="s">
        <v>12</v>
      </c>
      <c r="I91" s="72" t="s">
        <v>110</v>
      </c>
      <c r="J91" s="72" t="s">
        <v>111</v>
      </c>
      <c r="K91" s="72" t="s">
        <v>116</v>
      </c>
      <c r="L91" s="93" t="s">
        <v>113</v>
      </c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>
      <c r="A92" s="68">
        <v>2022.0</v>
      </c>
      <c r="B92" s="68">
        <v>4.0</v>
      </c>
      <c r="C92" s="89">
        <v>27.0</v>
      </c>
      <c r="D92" s="90" t="s">
        <v>85</v>
      </c>
      <c r="E92" s="104">
        <v>48.85</v>
      </c>
      <c r="F92" s="69">
        <v>1.0</v>
      </c>
      <c r="G92" s="105">
        <f t="shared" si="9"/>
        <v>48.85</v>
      </c>
      <c r="H92" s="72" t="s">
        <v>12</v>
      </c>
      <c r="I92" s="72" t="s">
        <v>110</v>
      </c>
      <c r="J92" s="72" t="s">
        <v>111</v>
      </c>
      <c r="K92" s="72" t="s">
        <v>112</v>
      </c>
      <c r="L92" s="93" t="s">
        <v>113</v>
      </c>
      <c r="M92" s="93" t="s">
        <v>113</v>
      </c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>
      <c r="A93" s="68">
        <v>2022.0</v>
      </c>
      <c r="B93" s="68">
        <v>5.0</v>
      </c>
      <c r="C93" s="68">
        <v>4.0</v>
      </c>
      <c r="D93" s="90" t="s">
        <v>85</v>
      </c>
      <c r="E93" s="104">
        <v>48.0</v>
      </c>
      <c r="F93" s="69">
        <v>1.0</v>
      </c>
      <c r="G93" s="105">
        <f t="shared" si="9"/>
        <v>48</v>
      </c>
      <c r="H93" s="72" t="s">
        <v>12</v>
      </c>
      <c r="I93" s="72" t="s">
        <v>110</v>
      </c>
      <c r="J93" s="72" t="s">
        <v>111</v>
      </c>
      <c r="K93" s="72" t="s">
        <v>112</v>
      </c>
      <c r="L93" s="93" t="s">
        <v>113</v>
      </c>
      <c r="M93" s="93" t="s">
        <v>113</v>
      </c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>
      <c r="A94" s="68">
        <v>2022.0</v>
      </c>
      <c r="B94" s="68">
        <v>5.0</v>
      </c>
      <c r="C94" s="68">
        <v>6.0</v>
      </c>
      <c r="D94" s="90" t="s">
        <v>41</v>
      </c>
      <c r="E94" s="104">
        <v>280.0</v>
      </c>
      <c r="F94" s="69">
        <v>1.0</v>
      </c>
      <c r="G94" s="105">
        <f t="shared" si="9"/>
        <v>280</v>
      </c>
      <c r="H94" s="72" t="s">
        <v>12</v>
      </c>
      <c r="I94" s="72" t="s">
        <v>110</v>
      </c>
      <c r="J94" s="72" t="s">
        <v>111</v>
      </c>
      <c r="K94" s="72" t="s">
        <v>112</v>
      </c>
      <c r="L94" s="93" t="s">
        <v>113</v>
      </c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>
      <c r="A95" s="68">
        <v>2022.0</v>
      </c>
      <c r="B95" s="68">
        <v>5.0</v>
      </c>
      <c r="C95" s="68">
        <v>6.0</v>
      </c>
      <c r="D95" s="69" t="s">
        <v>79</v>
      </c>
      <c r="E95" s="104">
        <v>158.0</v>
      </c>
      <c r="F95" s="69">
        <v>3.0</v>
      </c>
      <c r="G95" s="105">
        <f t="shared" si="9"/>
        <v>474</v>
      </c>
      <c r="H95" s="72" t="s">
        <v>12</v>
      </c>
      <c r="I95" s="72" t="s">
        <v>110</v>
      </c>
      <c r="J95" s="72" t="s">
        <v>111</v>
      </c>
      <c r="K95" s="72" t="s">
        <v>112</v>
      </c>
      <c r="L95" s="93" t="s">
        <v>113</v>
      </c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>
      <c r="A96" s="68">
        <v>2022.0</v>
      </c>
      <c r="B96" s="68">
        <v>5.0</v>
      </c>
      <c r="C96" s="68">
        <v>6.0</v>
      </c>
      <c r="D96" s="90" t="s">
        <v>71</v>
      </c>
      <c r="E96" s="104">
        <v>109.5</v>
      </c>
      <c r="F96" s="69">
        <v>4.0</v>
      </c>
      <c r="G96" s="105">
        <f t="shared" si="9"/>
        <v>438</v>
      </c>
      <c r="H96" s="72" t="s">
        <v>12</v>
      </c>
      <c r="I96" s="72" t="s">
        <v>110</v>
      </c>
      <c r="J96" s="72" t="s">
        <v>111</v>
      </c>
      <c r="K96" s="72" t="s">
        <v>112</v>
      </c>
      <c r="L96" s="93" t="s">
        <v>113</v>
      </c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>
      <c r="A97" s="68">
        <v>2022.0</v>
      </c>
      <c r="B97" s="68">
        <v>5.0</v>
      </c>
      <c r="C97" s="68">
        <v>16.0</v>
      </c>
      <c r="D97" s="69" t="s">
        <v>79</v>
      </c>
      <c r="E97" s="104">
        <v>140.0</v>
      </c>
      <c r="F97" s="69">
        <v>3.0</v>
      </c>
      <c r="G97" s="105">
        <f t="shared" si="9"/>
        <v>420</v>
      </c>
      <c r="H97" s="72" t="s">
        <v>12</v>
      </c>
      <c r="I97" s="72" t="s">
        <v>110</v>
      </c>
      <c r="J97" s="72" t="s">
        <v>111</v>
      </c>
      <c r="K97" s="72" t="s">
        <v>112</v>
      </c>
      <c r="L97" s="93" t="s">
        <v>113</v>
      </c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>
      <c r="A98" s="74">
        <v>2022.0</v>
      </c>
      <c r="B98" s="74">
        <v>5.0</v>
      </c>
      <c r="C98" s="74">
        <v>16.0</v>
      </c>
      <c r="D98" s="90" t="s">
        <v>41</v>
      </c>
      <c r="E98" s="104">
        <v>257.0</v>
      </c>
      <c r="F98" s="69">
        <v>1.0</v>
      </c>
      <c r="G98" s="105">
        <f t="shared" si="9"/>
        <v>257</v>
      </c>
      <c r="H98" s="72" t="s">
        <v>12</v>
      </c>
      <c r="I98" s="72" t="s">
        <v>110</v>
      </c>
      <c r="J98" s="72" t="s">
        <v>111</v>
      </c>
      <c r="K98" s="72" t="s">
        <v>112</v>
      </c>
      <c r="L98" s="93" t="s">
        <v>113</v>
      </c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>
      <c r="A99" s="68">
        <v>2022.0</v>
      </c>
      <c r="B99" s="89">
        <v>5.0</v>
      </c>
      <c r="C99" s="68">
        <v>16.0</v>
      </c>
      <c r="D99" s="75" t="s">
        <v>79</v>
      </c>
      <c r="E99" s="80">
        <v>147.05</v>
      </c>
      <c r="F99" s="75">
        <v>0.291322</v>
      </c>
      <c r="G99" s="81">
        <f t="shared" si="9"/>
        <v>42.8389001</v>
      </c>
      <c r="H99" s="78" t="s">
        <v>12</v>
      </c>
      <c r="I99" s="78" t="s">
        <v>110</v>
      </c>
      <c r="J99" s="78" t="s">
        <v>111</v>
      </c>
      <c r="K99" s="78" t="s">
        <v>118</v>
      </c>
    </row>
    <row r="100">
      <c r="A100" s="68">
        <v>2022.0</v>
      </c>
      <c r="B100" s="68">
        <v>5.0</v>
      </c>
      <c r="C100" s="89">
        <v>16.0</v>
      </c>
      <c r="D100" s="69" t="s">
        <v>79</v>
      </c>
      <c r="E100" s="106">
        <v>145.44</v>
      </c>
      <c r="F100" s="90">
        <v>0.291322</v>
      </c>
      <c r="G100" s="72">
        <v>42.36</v>
      </c>
      <c r="H100" s="72" t="s">
        <v>12</v>
      </c>
      <c r="I100" s="72" t="s">
        <v>110</v>
      </c>
      <c r="J100" s="72" t="s">
        <v>111</v>
      </c>
      <c r="K100" s="72" t="s">
        <v>116</v>
      </c>
      <c r="L100" s="93" t="s">
        <v>113</v>
      </c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>
      <c r="A101" s="68">
        <v>2022.0</v>
      </c>
      <c r="B101" s="68">
        <v>6.0</v>
      </c>
      <c r="C101" s="89">
        <v>24.0</v>
      </c>
      <c r="D101" s="69" t="s">
        <v>79</v>
      </c>
      <c r="E101" s="106">
        <v>132.0</v>
      </c>
      <c r="F101" s="69">
        <v>0.318484</v>
      </c>
      <c r="G101" s="72">
        <v>42.03</v>
      </c>
      <c r="H101" s="72" t="s">
        <v>12</v>
      </c>
      <c r="I101" s="72" t="s">
        <v>110</v>
      </c>
      <c r="J101" s="72" t="s">
        <v>111</v>
      </c>
      <c r="K101" s="72" t="s">
        <v>116</v>
      </c>
      <c r="L101" s="93" t="s">
        <v>113</v>
      </c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>
      <c r="A102" s="68">
        <v>2022.0</v>
      </c>
      <c r="B102" s="68">
        <v>7.0</v>
      </c>
      <c r="C102" s="89">
        <v>5.0</v>
      </c>
      <c r="D102" s="69" t="s">
        <v>37</v>
      </c>
      <c r="E102" s="70">
        <v>55900.0</v>
      </c>
      <c r="F102" s="69">
        <v>2.0</v>
      </c>
      <c r="G102" s="71">
        <f t="shared" ref="G102:G104" si="10">sum(E102*F102)</f>
        <v>111800</v>
      </c>
      <c r="H102" s="72" t="s">
        <v>7</v>
      </c>
      <c r="I102" s="72" t="s">
        <v>110</v>
      </c>
      <c r="J102" s="72" t="s">
        <v>111</v>
      </c>
      <c r="K102" s="72" t="s">
        <v>112</v>
      </c>
      <c r="L102" s="93" t="s">
        <v>113</v>
      </c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>
      <c r="A103" s="68">
        <v>2022.0</v>
      </c>
      <c r="B103" s="68">
        <v>7.0</v>
      </c>
      <c r="C103" s="89">
        <v>6.0</v>
      </c>
      <c r="D103" s="90" t="s">
        <v>41</v>
      </c>
      <c r="E103" s="104">
        <v>256.85</v>
      </c>
      <c r="F103" s="69">
        <v>2.0</v>
      </c>
      <c r="G103" s="105">
        <f t="shared" si="10"/>
        <v>513.7</v>
      </c>
      <c r="H103" s="72" t="s">
        <v>12</v>
      </c>
      <c r="I103" s="72" t="s">
        <v>110</v>
      </c>
      <c r="J103" s="72" t="s">
        <v>111</v>
      </c>
      <c r="K103" s="72" t="s">
        <v>112</v>
      </c>
      <c r="L103" s="93" t="s">
        <v>113</v>
      </c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>
      <c r="A104" s="68">
        <v>2022.0</v>
      </c>
      <c r="B104" s="68">
        <v>7.0</v>
      </c>
      <c r="C104" s="68">
        <v>16.0</v>
      </c>
      <c r="D104" s="90" t="s">
        <v>71</v>
      </c>
      <c r="E104" s="104">
        <v>99.8</v>
      </c>
      <c r="F104" s="69">
        <v>2.0</v>
      </c>
      <c r="G104" s="105">
        <f t="shared" si="10"/>
        <v>199.6</v>
      </c>
      <c r="H104" s="72" t="s">
        <v>12</v>
      </c>
      <c r="I104" s="72" t="s">
        <v>110</v>
      </c>
      <c r="J104" s="72" t="s">
        <v>111</v>
      </c>
      <c r="K104" s="72" t="s">
        <v>112</v>
      </c>
      <c r="L104" s="93" t="s">
        <v>113</v>
      </c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>
      <c r="A105" s="68">
        <v>2022.0</v>
      </c>
      <c r="B105" s="68">
        <v>8.0</v>
      </c>
      <c r="C105" s="68">
        <v>11.0</v>
      </c>
      <c r="D105" s="69" t="s">
        <v>79</v>
      </c>
      <c r="E105" s="106">
        <v>150.74</v>
      </c>
      <c r="F105" s="69">
        <v>0.275242</v>
      </c>
      <c r="G105" s="72">
        <v>41.48</v>
      </c>
      <c r="H105" s="72" t="s">
        <v>12</v>
      </c>
      <c r="I105" s="72" t="s">
        <v>110</v>
      </c>
      <c r="J105" s="72" t="s">
        <v>111</v>
      </c>
      <c r="K105" s="72" t="s">
        <v>116</v>
      </c>
      <c r="L105" s="93" t="s">
        <v>113</v>
      </c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>
      <c r="A106" s="68">
        <v>2022.0</v>
      </c>
      <c r="B106" s="68">
        <v>8.0</v>
      </c>
      <c r="C106" s="68">
        <v>16.0</v>
      </c>
      <c r="D106" s="90" t="s">
        <v>85</v>
      </c>
      <c r="E106" s="104">
        <v>48.5</v>
      </c>
      <c r="F106" s="69">
        <v>10.0</v>
      </c>
      <c r="G106" s="105">
        <f>sum(E106*F106)</f>
        <v>485</v>
      </c>
      <c r="H106" s="72" t="s">
        <v>12</v>
      </c>
      <c r="I106" s="72" t="s">
        <v>110</v>
      </c>
      <c r="J106" s="72" t="s">
        <v>111</v>
      </c>
      <c r="K106" s="72" t="s">
        <v>112</v>
      </c>
      <c r="L106" s="93" t="s">
        <v>113</v>
      </c>
      <c r="M106" s="93" t="s">
        <v>113</v>
      </c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>
      <c r="A107" s="68">
        <v>2022.0</v>
      </c>
      <c r="B107" s="68">
        <v>8.0</v>
      </c>
      <c r="C107" s="89">
        <v>25.0</v>
      </c>
      <c r="D107" s="69" t="s">
        <v>79</v>
      </c>
      <c r="E107" s="106">
        <v>172.62</v>
      </c>
      <c r="F107" s="69">
        <v>0.24076</v>
      </c>
      <c r="G107" s="72">
        <v>41.55</v>
      </c>
      <c r="H107" s="72" t="s">
        <v>12</v>
      </c>
      <c r="I107" s="72" t="s">
        <v>110</v>
      </c>
      <c r="J107" s="72" t="s">
        <v>111</v>
      </c>
      <c r="K107" s="72" t="s">
        <v>116</v>
      </c>
      <c r="L107" s="93" t="s">
        <v>113</v>
      </c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>
      <c r="A108" s="68">
        <v>2022.0</v>
      </c>
      <c r="B108" s="68">
        <v>9.0</v>
      </c>
      <c r="C108" s="68">
        <v>16.0</v>
      </c>
      <c r="D108" s="90" t="s">
        <v>85</v>
      </c>
      <c r="E108" s="106">
        <v>46.07</v>
      </c>
      <c r="F108" s="90">
        <v>0.975689</v>
      </c>
      <c r="G108" s="72">
        <v>44.94</v>
      </c>
      <c r="H108" s="72" t="s">
        <v>12</v>
      </c>
      <c r="I108" s="72" t="s">
        <v>110</v>
      </c>
      <c r="J108" s="72" t="s">
        <v>111</v>
      </c>
      <c r="K108" s="72" t="s">
        <v>116</v>
      </c>
      <c r="L108" s="93" t="s">
        <v>113</v>
      </c>
      <c r="M108" s="93" t="s">
        <v>113</v>
      </c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>
      <c r="A109" s="94">
        <v>2022.0</v>
      </c>
      <c r="B109" s="94">
        <v>10.0</v>
      </c>
      <c r="C109" s="94">
        <v>7.0</v>
      </c>
      <c r="D109" s="108" t="s">
        <v>43</v>
      </c>
      <c r="E109" s="95">
        <v>58.75</v>
      </c>
      <c r="F109" s="94">
        <v>5.0</v>
      </c>
      <c r="G109" s="96">
        <f t="shared" ref="G109:G112" si="11">sum(E109*F109)</f>
        <v>293.75</v>
      </c>
      <c r="H109" s="97" t="s">
        <v>12</v>
      </c>
      <c r="I109" s="97" t="s">
        <v>110</v>
      </c>
      <c r="J109" s="97" t="s">
        <v>111</v>
      </c>
      <c r="K109" s="97" t="s">
        <v>112</v>
      </c>
      <c r="L109" s="98" t="s">
        <v>113</v>
      </c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>
      <c r="A110" s="94">
        <v>2022.0</v>
      </c>
      <c r="B110" s="94">
        <v>10.0</v>
      </c>
      <c r="C110" s="94">
        <v>7.0</v>
      </c>
      <c r="D110" s="108" t="s">
        <v>85</v>
      </c>
      <c r="E110" s="95">
        <v>42.29</v>
      </c>
      <c r="F110" s="94">
        <v>7.0</v>
      </c>
      <c r="G110" s="96">
        <f t="shared" si="11"/>
        <v>296.03</v>
      </c>
      <c r="H110" s="97" t="s">
        <v>12</v>
      </c>
      <c r="I110" s="97" t="s">
        <v>110</v>
      </c>
      <c r="J110" s="97" t="s">
        <v>111</v>
      </c>
      <c r="K110" s="97" t="s">
        <v>112</v>
      </c>
      <c r="L110" s="98" t="s">
        <v>113</v>
      </c>
      <c r="M110" s="93" t="s">
        <v>113</v>
      </c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>
      <c r="A111" s="94">
        <v>2022.0</v>
      </c>
      <c r="B111" s="94">
        <v>10.0</v>
      </c>
      <c r="C111" s="94">
        <v>7.0</v>
      </c>
      <c r="D111" s="94" t="s">
        <v>71</v>
      </c>
      <c r="E111" s="95">
        <v>99.0</v>
      </c>
      <c r="F111" s="94">
        <v>4.0</v>
      </c>
      <c r="G111" s="96">
        <f t="shared" si="11"/>
        <v>396</v>
      </c>
      <c r="H111" s="97" t="s">
        <v>12</v>
      </c>
      <c r="I111" s="97" t="s">
        <v>110</v>
      </c>
      <c r="J111" s="97" t="s">
        <v>111</v>
      </c>
      <c r="K111" s="97" t="s">
        <v>112</v>
      </c>
      <c r="L111" s="98" t="s">
        <v>113</v>
      </c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>
      <c r="A112" s="89">
        <v>2022.0</v>
      </c>
      <c r="B112" s="89">
        <v>12.0</v>
      </c>
      <c r="C112" s="89">
        <v>20.0</v>
      </c>
      <c r="D112" s="69" t="s">
        <v>34</v>
      </c>
      <c r="E112" s="70">
        <v>10225.0</v>
      </c>
      <c r="F112" s="69">
        <v>9.0</v>
      </c>
      <c r="G112" s="71">
        <f t="shared" si="11"/>
        <v>92025</v>
      </c>
      <c r="H112" s="72" t="s">
        <v>7</v>
      </c>
      <c r="I112" s="72" t="s">
        <v>110</v>
      </c>
      <c r="J112" s="72" t="s">
        <v>111</v>
      </c>
      <c r="K112" s="72" t="s">
        <v>112</v>
      </c>
      <c r="L112" s="93" t="s">
        <v>113</v>
      </c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>
      <c r="A113" s="68">
        <v>2023.0</v>
      </c>
      <c r="B113" s="68">
        <v>1.0</v>
      </c>
      <c r="C113" s="68">
        <v>3.0</v>
      </c>
      <c r="D113" s="90" t="s">
        <v>69</v>
      </c>
      <c r="E113" s="106">
        <v>78.0</v>
      </c>
      <c r="F113" s="90">
        <v>4.0</v>
      </c>
      <c r="G113" s="72">
        <v>312.0</v>
      </c>
      <c r="H113" s="72" t="s">
        <v>12</v>
      </c>
      <c r="I113" s="72" t="s">
        <v>110</v>
      </c>
      <c r="J113" s="72" t="s">
        <v>111</v>
      </c>
      <c r="K113" s="72" t="s">
        <v>112</v>
      </c>
      <c r="L113" s="93" t="s">
        <v>113</v>
      </c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>
      <c r="A114" s="68">
        <v>2023.0</v>
      </c>
      <c r="B114" s="68">
        <v>1.0</v>
      </c>
      <c r="C114" s="68">
        <v>25.0</v>
      </c>
      <c r="D114" s="90" t="s">
        <v>85</v>
      </c>
      <c r="E114" s="106">
        <v>44.88</v>
      </c>
      <c r="F114" s="90">
        <v>6.0</v>
      </c>
      <c r="G114" s="72">
        <v>269.28</v>
      </c>
      <c r="H114" s="72" t="s">
        <v>12</v>
      </c>
      <c r="I114" s="72" t="s">
        <v>110</v>
      </c>
      <c r="J114" s="72" t="s">
        <v>111</v>
      </c>
      <c r="K114" s="72" t="s">
        <v>112</v>
      </c>
      <c r="L114" s="93" t="s">
        <v>113</v>
      </c>
      <c r="M114" s="93" t="s">
        <v>113</v>
      </c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>
      <c r="A115" s="89">
        <v>2023.0</v>
      </c>
      <c r="B115" s="89">
        <v>3.0</v>
      </c>
      <c r="C115" s="89">
        <v>20.0</v>
      </c>
      <c r="D115" s="90" t="s">
        <v>85</v>
      </c>
      <c r="E115" s="106">
        <v>40.7</v>
      </c>
      <c r="F115" s="90">
        <v>7.0</v>
      </c>
      <c r="G115" s="72">
        <v>284.9</v>
      </c>
      <c r="H115" s="72" t="s">
        <v>12</v>
      </c>
      <c r="I115" s="72" t="s">
        <v>110</v>
      </c>
      <c r="J115" s="72" t="s">
        <v>111</v>
      </c>
      <c r="K115" s="72" t="s">
        <v>112</v>
      </c>
      <c r="L115" s="93" t="s">
        <v>113</v>
      </c>
      <c r="M115" s="93" t="s">
        <v>113</v>
      </c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>
      <c r="A116" s="68">
        <v>2023.0</v>
      </c>
      <c r="B116" s="68">
        <v>3.0</v>
      </c>
      <c r="C116" s="68">
        <v>22.0</v>
      </c>
      <c r="D116" s="69" t="s">
        <v>83</v>
      </c>
      <c r="E116" s="70">
        <v>316000.0</v>
      </c>
      <c r="F116" s="69">
        <v>3.0</v>
      </c>
      <c r="G116" s="71">
        <f t="shared" ref="G116:G139" si="12">sum(E116*F116)</f>
        <v>948000</v>
      </c>
      <c r="H116" s="72" t="s">
        <v>7</v>
      </c>
      <c r="I116" s="72" t="s">
        <v>110</v>
      </c>
      <c r="J116" s="72" t="s">
        <v>111</v>
      </c>
      <c r="K116" s="72" t="s">
        <v>112</v>
      </c>
      <c r="L116" s="93" t="s">
        <v>113</v>
      </c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>
      <c r="A117" s="68">
        <v>2023.0</v>
      </c>
      <c r="B117" s="68">
        <v>4.0</v>
      </c>
      <c r="C117" s="68">
        <v>28.0</v>
      </c>
      <c r="D117" s="90" t="s">
        <v>85</v>
      </c>
      <c r="E117" s="104">
        <v>39.73</v>
      </c>
      <c r="F117" s="69">
        <v>5.0</v>
      </c>
      <c r="G117" s="105">
        <f t="shared" si="12"/>
        <v>198.65</v>
      </c>
      <c r="H117" s="72" t="s">
        <v>12</v>
      </c>
      <c r="I117" s="72" t="s">
        <v>110</v>
      </c>
      <c r="J117" s="72" t="s">
        <v>111</v>
      </c>
      <c r="K117" s="72" t="s">
        <v>112</v>
      </c>
      <c r="L117" s="93" t="s">
        <v>113</v>
      </c>
      <c r="M117" s="93" t="s">
        <v>113</v>
      </c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>
      <c r="A118" s="68">
        <v>2023.0</v>
      </c>
      <c r="B118" s="68">
        <v>4.0</v>
      </c>
      <c r="C118" s="68">
        <v>28.0</v>
      </c>
      <c r="D118" s="69" t="s">
        <v>65</v>
      </c>
      <c r="E118" s="70">
        <v>49000.0</v>
      </c>
      <c r="F118" s="69">
        <v>5.0</v>
      </c>
      <c r="G118" s="71">
        <f t="shared" si="12"/>
        <v>245000</v>
      </c>
      <c r="H118" s="72" t="s">
        <v>7</v>
      </c>
      <c r="I118" s="72" t="s">
        <v>110</v>
      </c>
      <c r="J118" s="72" t="s">
        <v>111</v>
      </c>
      <c r="K118" s="72" t="s">
        <v>112</v>
      </c>
      <c r="L118" s="93" t="s">
        <v>113</v>
      </c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>
      <c r="A119" s="68">
        <v>2023.0</v>
      </c>
      <c r="B119" s="68">
        <v>4.0</v>
      </c>
      <c r="C119" s="68">
        <v>28.0</v>
      </c>
      <c r="D119" s="69" t="s">
        <v>83</v>
      </c>
      <c r="E119" s="70">
        <v>376000.0</v>
      </c>
      <c r="F119" s="69">
        <v>2.0</v>
      </c>
      <c r="G119" s="71">
        <f t="shared" si="12"/>
        <v>752000</v>
      </c>
      <c r="H119" s="72" t="s">
        <v>7</v>
      </c>
      <c r="I119" s="72" t="s">
        <v>110</v>
      </c>
      <c r="J119" s="72" t="s">
        <v>111</v>
      </c>
      <c r="K119" s="72" t="s">
        <v>112</v>
      </c>
      <c r="L119" s="93" t="s">
        <v>113</v>
      </c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>
      <c r="A120" s="68">
        <v>2023.0</v>
      </c>
      <c r="B120" s="68">
        <v>5.0</v>
      </c>
      <c r="C120" s="68">
        <v>9.0</v>
      </c>
      <c r="D120" s="90" t="s">
        <v>43</v>
      </c>
      <c r="E120" s="104">
        <v>60.9</v>
      </c>
      <c r="F120" s="69">
        <v>5.0</v>
      </c>
      <c r="G120" s="105">
        <f t="shared" si="12"/>
        <v>304.5</v>
      </c>
      <c r="H120" s="72" t="s">
        <v>12</v>
      </c>
      <c r="I120" s="72" t="s">
        <v>110</v>
      </c>
      <c r="J120" s="72" t="s">
        <v>111</v>
      </c>
      <c r="K120" s="72" t="s">
        <v>112</v>
      </c>
      <c r="L120" s="93" t="s">
        <v>113</v>
      </c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>
      <c r="A121" s="68">
        <v>2023.0</v>
      </c>
      <c r="B121" s="68">
        <v>5.0</v>
      </c>
      <c r="C121" s="68">
        <v>9.0</v>
      </c>
      <c r="D121" s="90" t="s">
        <v>85</v>
      </c>
      <c r="E121" s="104">
        <v>38.2</v>
      </c>
      <c r="F121" s="69">
        <v>5.0</v>
      </c>
      <c r="G121" s="105">
        <f t="shared" si="12"/>
        <v>191</v>
      </c>
      <c r="H121" s="72" t="s">
        <v>12</v>
      </c>
      <c r="I121" s="72" t="s">
        <v>110</v>
      </c>
      <c r="J121" s="72" t="s">
        <v>111</v>
      </c>
      <c r="K121" s="72" t="s">
        <v>112</v>
      </c>
      <c r="L121" s="93" t="s">
        <v>113</v>
      </c>
      <c r="M121" s="93" t="s">
        <v>113</v>
      </c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>
      <c r="A122" s="68">
        <v>2023.0</v>
      </c>
      <c r="B122" s="68">
        <v>5.0</v>
      </c>
      <c r="C122" s="68">
        <v>25.0</v>
      </c>
      <c r="D122" s="90" t="s">
        <v>43</v>
      </c>
      <c r="E122" s="104">
        <v>59.95</v>
      </c>
      <c r="F122" s="69">
        <v>5.0</v>
      </c>
      <c r="G122" s="105">
        <f t="shared" si="12"/>
        <v>299.75</v>
      </c>
      <c r="H122" s="72" t="s">
        <v>12</v>
      </c>
      <c r="I122" s="72" t="s">
        <v>110</v>
      </c>
      <c r="J122" s="72" t="s">
        <v>111</v>
      </c>
      <c r="K122" s="72" t="s">
        <v>112</v>
      </c>
      <c r="L122" s="93" t="s">
        <v>113</v>
      </c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>
      <c r="A123" s="68">
        <v>2023.0</v>
      </c>
      <c r="B123" s="68">
        <v>5.0</v>
      </c>
      <c r="C123" s="68">
        <v>25.0</v>
      </c>
      <c r="D123" s="90" t="s">
        <v>63</v>
      </c>
      <c r="E123" s="104">
        <v>61.88</v>
      </c>
      <c r="F123" s="69">
        <v>5.0</v>
      </c>
      <c r="G123" s="105">
        <f t="shared" si="12"/>
        <v>309.4</v>
      </c>
      <c r="H123" s="72" t="s">
        <v>12</v>
      </c>
      <c r="I123" s="72" t="s">
        <v>110</v>
      </c>
      <c r="J123" s="72" t="s">
        <v>111</v>
      </c>
      <c r="K123" s="72" t="s">
        <v>112</v>
      </c>
      <c r="L123" s="93" t="s">
        <v>113</v>
      </c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>
      <c r="A124" s="68">
        <v>2023.0</v>
      </c>
      <c r="B124" s="68">
        <v>5.0</v>
      </c>
      <c r="C124" s="68">
        <v>30.0</v>
      </c>
      <c r="D124" s="90" t="s">
        <v>46</v>
      </c>
      <c r="E124" s="104">
        <v>377.0</v>
      </c>
      <c r="F124" s="69">
        <v>1.0</v>
      </c>
      <c r="G124" s="105">
        <f t="shared" si="12"/>
        <v>377</v>
      </c>
      <c r="H124" s="72" t="s">
        <v>12</v>
      </c>
      <c r="I124" s="72" t="s">
        <v>110</v>
      </c>
      <c r="J124" s="72" t="s">
        <v>111</v>
      </c>
      <c r="K124" s="72" t="s">
        <v>112</v>
      </c>
      <c r="L124" s="93" t="s">
        <v>113</v>
      </c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>
      <c r="A125" s="68">
        <v>2023.0</v>
      </c>
      <c r="B125" s="68">
        <v>5.0</v>
      </c>
      <c r="C125" s="68">
        <v>31.0</v>
      </c>
      <c r="D125" s="90" t="s">
        <v>85</v>
      </c>
      <c r="E125" s="104">
        <v>37.95</v>
      </c>
      <c r="F125" s="69">
        <v>5.0</v>
      </c>
      <c r="G125" s="105">
        <f t="shared" si="12"/>
        <v>189.75</v>
      </c>
      <c r="H125" s="72" t="s">
        <v>12</v>
      </c>
      <c r="I125" s="72" t="s">
        <v>110</v>
      </c>
      <c r="J125" s="72" t="s">
        <v>111</v>
      </c>
      <c r="K125" s="72" t="s">
        <v>112</v>
      </c>
      <c r="L125" s="93" t="s">
        <v>113</v>
      </c>
      <c r="M125" s="93" t="s">
        <v>113</v>
      </c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>
      <c r="A126" s="68">
        <v>2023.0</v>
      </c>
      <c r="B126" s="68">
        <v>5.0</v>
      </c>
      <c r="C126" s="68">
        <v>31.0</v>
      </c>
      <c r="D126" s="90" t="s">
        <v>43</v>
      </c>
      <c r="E126" s="104">
        <v>58.6</v>
      </c>
      <c r="F126" s="69">
        <v>5.0</v>
      </c>
      <c r="G126" s="105">
        <f t="shared" si="12"/>
        <v>293</v>
      </c>
      <c r="H126" s="72" t="s">
        <v>12</v>
      </c>
      <c r="I126" s="72" t="s">
        <v>110</v>
      </c>
      <c r="J126" s="72" t="s">
        <v>111</v>
      </c>
      <c r="K126" s="72" t="s">
        <v>112</v>
      </c>
      <c r="L126" s="93" t="s">
        <v>113</v>
      </c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>
      <c r="A127" s="68">
        <v>2023.0</v>
      </c>
      <c r="B127" s="68">
        <v>5.0</v>
      </c>
      <c r="C127" s="68">
        <v>31.0</v>
      </c>
      <c r="D127" s="69" t="s">
        <v>83</v>
      </c>
      <c r="E127" s="70">
        <v>360000.0</v>
      </c>
      <c r="F127" s="69">
        <v>2.0</v>
      </c>
      <c r="G127" s="71">
        <f t="shared" si="12"/>
        <v>720000</v>
      </c>
      <c r="H127" s="72" t="s">
        <v>7</v>
      </c>
      <c r="I127" s="72" t="s">
        <v>110</v>
      </c>
      <c r="J127" s="72" t="s">
        <v>111</v>
      </c>
      <c r="K127" s="72" t="s">
        <v>112</v>
      </c>
      <c r="L127" s="93" t="s">
        <v>113</v>
      </c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>
      <c r="A128" s="68">
        <v>2023.0</v>
      </c>
      <c r="B128" s="68">
        <v>6.0</v>
      </c>
      <c r="C128" s="68">
        <v>2.0</v>
      </c>
      <c r="D128" s="90" t="s">
        <v>85</v>
      </c>
      <c r="E128" s="104">
        <v>37.2</v>
      </c>
      <c r="F128" s="69">
        <v>5.0</v>
      </c>
      <c r="G128" s="105">
        <f t="shared" si="12"/>
        <v>186</v>
      </c>
      <c r="H128" s="72" t="s">
        <v>12</v>
      </c>
      <c r="I128" s="72" t="s">
        <v>110</v>
      </c>
      <c r="J128" s="72" t="s">
        <v>111</v>
      </c>
      <c r="K128" s="72" t="s">
        <v>112</v>
      </c>
      <c r="L128" s="93" t="s">
        <v>113</v>
      </c>
      <c r="M128" s="93" t="s">
        <v>113</v>
      </c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>
      <c r="A129" s="68">
        <v>2023.0</v>
      </c>
      <c r="B129" s="68">
        <v>6.0</v>
      </c>
      <c r="C129" s="68">
        <v>2.0</v>
      </c>
      <c r="D129" s="90" t="s">
        <v>63</v>
      </c>
      <c r="E129" s="104">
        <v>59.9</v>
      </c>
      <c r="F129" s="69">
        <v>5.0</v>
      </c>
      <c r="G129" s="105">
        <f t="shared" si="12"/>
        <v>299.5</v>
      </c>
      <c r="H129" s="72" t="s">
        <v>12</v>
      </c>
      <c r="I129" s="72" t="s">
        <v>110</v>
      </c>
      <c r="J129" s="72" t="s">
        <v>111</v>
      </c>
      <c r="K129" s="72" t="s">
        <v>112</v>
      </c>
      <c r="L129" s="93" t="s">
        <v>113</v>
      </c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>
      <c r="A130" s="68">
        <v>2023.0</v>
      </c>
      <c r="B130" s="68">
        <v>6.0</v>
      </c>
      <c r="C130" s="68">
        <v>5.0</v>
      </c>
      <c r="D130" s="69" t="s">
        <v>65</v>
      </c>
      <c r="E130" s="70">
        <v>46900.0</v>
      </c>
      <c r="F130" s="69">
        <v>5.0</v>
      </c>
      <c r="G130" s="71">
        <f t="shared" si="12"/>
        <v>234500</v>
      </c>
      <c r="H130" s="72" t="s">
        <v>7</v>
      </c>
      <c r="I130" s="72" t="s">
        <v>110</v>
      </c>
      <c r="J130" s="72" t="s">
        <v>111</v>
      </c>
      <c r="K130" s="72" t="s">
        <v>112</v>
      </c>
      <c r="L130" s="93" t="s">
        <v>113</v>
      </c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>
      <c r="A131" s="68">
        <v>2023.0</v>
      </c>
      <c r="B131" s="68">
        <v>6.0</v>
      </c>
      <c r="C131" s="68">
        <v>27.0</v>
      </c>
      <c r="D131" s="90" t="s">
        <v>43</v>
      </c>
      <c r="E131" s="104">
        <v>59.4</v>
      </c>
      <c r="F131" s="69">
        <v>5.0</v>
      </c>
      <c r="G131" s="105">
        <f t="shared" si="12"/>
        <v>297</v>
      </c>
      <c r="H131" s="72" t="s">
        <v>12</v>
      </c>
      <c r="I131" s="72" t="s">
        <v>110</v>
      </c>
      <c r="J131" s="72" t="s">
        <v>111</v>
      </c>
      <c r="K131" s="72" t="s">
        <v>112</v>
      </c>
      <c r="L131" s="93" t="s">
        <v>113</v>
      </c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>
      <c r="A132" s="68">
        <v>2023.0</v>
      </c>
      <c r="B132" s="68">
        <v>7.0</v>
      </c>
      <c r="C132" s="68">
        <v>3.0</v>
      </c>
      <c r="D132" s="90" t="s">
        <v>85</v>
      </c>
      <c r="E132" s="104">
        <v>36.25</v>
      </c>
      <c r="F132" s="69">
        <v>5.0</v>
      </c>
      <c r="G132" s="105">
        <f t="shared" si="12"/>
        <v>181.25</v>
      </c>
      <c r="H132" s="72" t="s">
        <v>12</v>
      </c>
      <c r="I132" s="72" t="s">
        <v>110</v>
      </c>
      <c r="J132" s="72" t="s">
        <v>111</v>
      </c>
      <c r="K132" s="72" t="s">
        <v>112</v>
      </c>
      <c r="L132" s="93" t="s">
        <v>113</v>
      </c>
      <c r="M132" s="93" t="s">
        <v>113</v>
      </c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>
      <c r="A133" s="68">
        <v>2023.0</v>
      </c>
      <c r="B133" s="68">
        <v>7.0</v>
      </c>
      <c r="C133" s="68">
        <v>10.0</v>
      </c>
      <c r="D133" s="69" t="s">
        <v>65</v>
      </c>
      <c r="E133" s="70">
        <v>46700.0</v>
      </c>
      <c r="F133" s="69">
        <v>5.0</v>
      </c>
      <c r="G133" s="71">
        <f t="shared" si="12"/>
        <v>233500</v>
      </c>
      <c r="H133" s="72" t="s">
        <v>7</v>
      </c>
      <c r="I133" s="72" t="s">
        <v>110</v>
      </c>
      <c r="J133" s="72" t="s">
        <v>111</v>
      </c>
      <c r="K133" s="72" t="s">
        <v>112</v>
      </c>
      <c r="L133" s="93" t="s">
        <v>113</v>
      </c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>
      <c r="A134" s="68">
        <v>2023.0</v>
      </c>
      <c r="B134" s="68">
        <v>7.0</v>
      </c>
      <c r="C134" s="68">
        <v>13.0</v>
      </c>
      <c r="D134" s="90" t="s">
        <v>43</v>
      </c>
      <c r="E134" s="104">
        <v>59.2</v>
      </c>
      <c r="F134" s="69">
        <v>5.0</v>
      </c>
      <c r="G134" s="105">
        <f t="shared" si="12"/>
        <v>296</v>
      </c>
      <c r="H134" s="72" t="s">
        <v>12</v>
      </c>
      <c r="I134" s="72" t="s">
        <v>110</v>
      </c>
      <c r="J134" s="72" t="s">
        <v>111</v>
      </c>
      <c r="K134" s="72" t="s">
        <v>112</v>
      </c>
      <c r="L134" s="93" t="s">
        <v>113</v>
      </c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>
      <c r="A135" s="68">
        <v>2023.0</v>
      </c>
      <c r="B135" s="68">
        <v>7.0</v>
      </c>
      <c r="C135" s="68">
        <v>13.0</v>
      </c>
      <c r="D135" s="90" t="s">
        <v>63</v>
      </c>
      <c r="E135" s="104">
        <v>59.7</v>
      </c>
      <c r="F135" s="69">
        <v>2.0</v>
      </c>
      <c r="G135" s="105">
        <f t="shared" si="12"/>
        <v>119.4</v>
      </c>
      <c r="H135" s="72" t="s">
        <v>12</v>
      </c>
      <c r="I135" s="72" t="s">
        <v>110</v>
      </c>
      <c r="J135" s="72" t="s">
        <v>111</v>
      </c>
      <c r="K135" s="72" t="s">
        <v>112</v>
      </c>
      <c r="L135" s="93" t="s">
        <v>113</v>
      </c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>
      <c r="A136" s="68">
        <v>2023.0</v>
      </c>
      <c r="B136" s="68">
        <v>7.0</v>
      </c>
      <c r="C136" s="68">
        <v>18.0</v>
      </c>
      <c r="D136" s="90" t="s">
        <v>20</v>
      </c>
      <c r="E136" s="70">
        <v>9950.0</v>
      </c>
      <c r="F136" s="69">
        <v>10.0</v>
      </c>
      <c r="G136" s="71">
        <f t="shared" si="12"/>
        <v>99500</v>
      </c>
      <c r="H136" s="72" t="s">
        <v>7</v>
      </c>
      <c r="I136" s="72" t="s">
        <v>110</v>
      </c>
      <c r="J136" s="72" t="s">
        <v>119</v>
      </c>
      <c r="K136" s="72" t="s">
        <v>112</v>
      </c>
      <c r="L136" s="93" t="s">
        <v>113</v>
      </c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>
      <c r="A137" s="74">
        <v>2023.0</v>
      </c>
      <c r="B137" s="74">
        <v>7.0</v>
      </c>
      <c r="C137" s="74">
        <v>19.0</v>
      </c>
      <c r="D137" s="79" t="s">
        <v>26</v>
      </c>
      <c r="E137" s="76">
        <v>11450.0</v>
      </c>
      <c r="F137" s="75">
        <v>10.0</v>
      </c>
      <c r="G137" s="77">
        <f t="shared" si="12"/>
        <v>114500</v>
      </c>
      <c r="H137" s="78" t="s">
        <v>7</v>
      </c>
      <c r="I137" s="78" t="s">
        <v>110</v>
      </c>
      <c r="J137" s="78" t="s">
        <v>119</v>
      </c>
      <c r="K137" s="78" t="s">
        <v>112</v>
      </c>
      <c r="L137" s="109" t="s">
        <v>113</v>
      </c>
    </row>
    <row r="138">
      <c r="A138" s="68">
        <v>2023.0</v>
      </c>
      <c r="B138" s="68">
        <v>7.0</v>
      </c>
      <c r="C138" s="68">
        <v>19.0</v>
      </c>
      <c r="D138" s="90" t="s">
        <v>6</v>
      </c>
      <c r="E138" s="70">
        <v>12660.0</v>
      </c>
      <c r="F138" s="69">
        <v>3.0</v>
      </c>
      <c r="G138" s="71">
        <f t="shared" si="12"/>
        <v>37980</v>
      </c>
      <c r="H138" s="72" t="s">
        <v>7</v>
      </c>
      <c r="I138" s="72" t="s">
        <v>110</v>
      </c>
      <c r="J138" s="72" t="s">
        <v>119</v>
      </c>
      <c r="K138" s="72" t="s">
        <v>112</v>
      </c>
      <c r="L138" s="93" t="s">
        <v>113</v>
      </c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>
      <c r="A139" s="68">
        <v>2023.0</v>
      </c>
      <c r="B139" s="68">
        <v>7.0</v>
      </c>
      <c r="C139" s="68">
        <v>19.0</v>
      </c>
      <c r="D139" s="90" t="s">
        <v>17</v>
      </c>
      <c r="E139" s="70">
        <v>14290.0</v>
      </c>
      <c r="F139" s="69">
        <v>10.0</v>
      </c>
      <c r="G139" s="71">
        <f t="shared" si="12"/>
        <v>142900</v>
      </c>
      <c r="H139" s="72" t="s">
        <v>7</v>
      </c>
      <c r="I139" s="72" t="s">
        <v>110</v>
      </c>
      <c r="J139" s="72" t="s">
        <v>119</v>
      </c>
      <c r="K139" s="72" t="s">
        <v>112</v>
      </c>
      <c r="L139" s="93" t="s">
        <v>113</v>
      </c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>
      <c r="A140" s="72">
        <v>2023.0</v>
      </c>
      <c r="B140" s="72">
        <v>8.0</v>
      </c>
      <c r="C140" s="72">
        <v>1.0</v>
      </c>
      <c r="D140" s="90" t="s">
        <v>43</v>
      </c>
      <c r="E140" s="106">
        <v>58.8</v>
      </c>
      <c r="F140" s="90">
        <v>3.0</v>
      </c>
      <c r="G140" s="110">
        <v>176.4</v>
      </c>
      <c r="H140" s="72" t="s">
        <v>12</v>
      </c>
      <c r="I140" s="72" t="s">
        <v>110</v>
      </c>
      <c r="J140" s="72" t="s">
        <v>111</v>
      </c>
      <c r="K140" s="72" t="s">
        <v>116</v>
      </c>
      <c r="L140" s="93" t="s">
        <v>113</v>
      </c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>
      <c r="A141" s="68">
        <v>2023.0</v>
      </c>
      <c r="B141" s="68">
        <v>8.0</v>
      </c>
      <c r="C141" s="68">
        <v>3.0</v>
      </c>
      <c r="D141" s="90" t="s">
        <v>85</v>
      </c>
      <c r="E141" s="106">
        <v>35.0</v>
      </c>
      <c r="F141" s="90">
        <v>1.0</v>
      </c>
      <c r="G141" s="110">
        <v>35.0</v>
      </c>
      <c r="H141" s="72" t="s">
        <v>12</v>
      </c>
      <c r="I141" s="72" t="s">
        <v>110</v>
      </c>
      <c r="J141" s="72" t="s">
        <v>111</v>
      </c>
      <c r="K141" s="72" t="s">
        <v>116</v>
      </c>
      <c r="L141" s="93" t="s">
        <v>113</v>
      </c>
      <c r="M141" s="93" t="s">
        <v>113</v>
      </c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>
      <c r="A142" s="68">
        <v>2023.0</v>
      </c>
      <c r="B142" s="89">
        <v>8.0</v>
      </c>
      <c r="C142" s="89">
        <v>4.0</v>
      </c>
      <c r="D142" s="72" t="s">
        <v>11</v>
      </c>
      <c r="E142" s="111">
        <v>159.84</v>
      </c>
      <c r="F142" s="72">
        <v>0.963224</v>
      </c>
      <c r="G142" s="111">
        <v>153.96</v>
      </c>
      <c r="H142" s="72" t="s">
        <v>12</v>
      </c>
      <c r="I142" s="72" t="s">
        <v>110</v>
      </c>
      <c r="J142" s="72" t="s">
        <v>111</v>
      </c>
      <c r="K142" s="72" t="s">
        <v>116</v>
      </c>
      <c r="L142" s="93" t="s">
        <v>113</v>
      </c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>
      <c r="A143" s="68">
        <v>2023.0</v>
      </c>
      <c r="B143" s="89">
        <v>8.0</v>
      </c>
      <c r="C143" s="89">
        <v>4.0</v>
      </c>
      <c r="D143" s="90" t="s">
        <v>85</v>
      </c>
      <c r="E143" s="104">
        <v>35.95</v>
      </c>
      <c r="F143" s="69">
        <v>2.0</v>
      </c>
      <c r="G143" s="105">
        <f t="shared" ref="G143:G148" si="13">sum(E143*F143)</f>
        <v>71.9</v>
      </c>
      <c r="H143" s="72" t="s">
        <v>12</v>
      </c>
      <c r="I143" s="72" t="s">
        <v>110</v>
      </c>
      <c r="J143" s="72" t="s">
        <v>111</v>
      </c>
      <c r="K143" s="72" t="s">
        <v>112</v>
      </c>
      <c r="L143" s="93" t="s">
        <v>113</v>
      </c>
      <c r="M143" s="93" t="s">
        <v>113</v>
      </c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>
      <c r="A144" s="68">
        <v>2023.0</v>
      </c>
      <c r="B144" s="68">
        <v>8.0</v>
      </c>
      <c r="C144" s="68">
        <v>4.0</v>
      </c>
      <c r="D144" s="90" t="s">
        <v>69</v>
      </c>
      <c r="E144" s="104">
        <v>98.3</v>
      </c>
      <c r="F144" s="69">
        <v>1.0</v>
      </c>
      <c r="G144" s="105">
        <f t="shared" si="13"/>
        <v>98.3</v>
      </c>
      <c r="H144" s="72" t="s">
        <v>12</v>
      </c>
      <c r="I144" s="72" t="s">
        <v>110</v>
      </c>
      <c r="J144" s="72" t="s">
        <v>111</v>
      </c>
      <c r="K144" s="72" t="s">
        <v>112</v>
      </c>
      <c r="L144" s="93" t="s">
        <v>113</v>
      </c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>
      <c r="A145" s="68">
        <v>2023.0</v>
      </c>
      <c r="B145" s="68">
        <v>8.0</v>
      </c>
      <c r="C145" s="68">
        <v>18.0</v>
      </c>
      <c r="D145" s="90" t="s">
        <v>17</v>
      </c>
      <c r="E145" s="70">
        <v>14870.0</v>
      </c>
      <c r="F145" s="69">
        <v>7.0</v>
      </c>
      <c r="G145" s="71">
        <f t="shared" si="13"/>
        <v>104090</v>
      </c>
      <c r="H145" s="72" t="s">
        <v>7</v>
      </c>
      <c r="I145" s="72" t="s">
        <v>110</v>
      </c>
      <c r="J145" s="72" t="s">
        <v>119</v>
      </c>
      <c r="K145" s="72" t="s">
        <v>112</v>
      </c>
      <c r="L145" s="93" t="s">
        <v>113</v>
      </c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>
      <c r="A146" s="68">
        <v>2023.0</v>
      </c>
      <c r="B146" s="68">
        <v>8.0</v>
      </c>
      <c r="C146" s="68">
        <v>18.0</v>
      </c>
      <c r="D146" s="90" t="s">
        <v>6</v>
      </c>
      <c r="E146" s="70">
        <v>12660.0</v>
      </c>
      <c r="F146" s="69">
        <v>8.0</v>
      </c>
      <c r="G146" s="71">
        <f t="shared" si="13"/>
        <v>101280</v>
      </c>
      <c r="H146" s="72" t="s">
        <v>7</v>
      </c>
      <c r="I146" s="72" t="s">
        <v>110</v>
      </c>
      <c r="J146" s="72" t="s">
        <v>119</v>
      </c>
      <c r="K146" s="72" t="s">
        <v>112</v>
      </c>
      <c r="L146" s="93" t="s">
        <v>113</v>
      </c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>
      <c r="A147" s="68">
        <v>2023.0</v>
      </c>
      <c r="B147" s="68">
        <v>8.0</v>
      </c>
      <c r="C147" s="68">
        <v>18.0</v>
      </c>
      <c r="D147" s="90" t="s">
        <v>26</v>
      </c>
      <c r="E147" s="70">
        <v>11750.0</v>
      </c>
      <c r="F147" s="69">
        <v>9.0</v>
      </c>
      <c r="G147" s="71">
        <f t="shared" si="13"/>
        <v>105750</v>
      </c>
      <c r="H147" s="72" t="s">
        <v>7</v>
      </c>
      <c r="I147" s="72" t="s">
        <v>110</v>
      </c>
      <c r="J147" s="72" t="s">
        <v>119</v>
      </c>
      <c r="K147" s="72" t="s">
        <v>112</v>
      </c>
      <c r="L147" s="93" t="s">
        <v>113</v>
      </c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>
      <c r="A148" s="68">
        <v>2023.0</v>
      </c>
      <c r="B148" s="68">
        <v>8.0</v>
      </c>
      <c r="C148" s="68">
        <v>18.0</v>
      </c>
      <c r="D148" s="90" t="s">
        <v>20</v>
      </c>
      <c r="E148" s="70">
        <v>10525.0</v>
      </c>
      <c r="F148" s="69">
        <v>10.0</v>
      </c>
      <c r="G148" s="71">
        <f t="shared" si="13"/>
        <v>105250</v>
      </c>
      <c r="H148" s="72" t="s">
        <v>7</v>
      </c>
      <c r="I148" s="72" t="s">
        <v>110</v>
      </c>
      <c r="J148" s="72" t="s">
        <v>119</v>
      </c>
      <c r="K148" s="72" t="s">
        <v>112</v>
      </c>
      <c r="L148" s="93" t="s">
        <v>113</v>
      </c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>
      <c r="A149" s="72">
        <v>2023.0</v>
      </c>
      <c r="B149" s="72">
        <v>8.0</v>
      </c>
      <c r="C149" s="72">
        <v>29.0</v>
      </c>
      <c r="D149" s="72" t="s">
        <v>23</v>
      </c>
      <c r="E149" s="92">
        <v>15100.0</v>
      </c>
      <c r="F149" s="72">
        <v>10.0</v>
      </c>
      <c r="G149" s="92">
        <v>151000.0</v>
      </c>
      <c r="H149" s="72" t="s">
        <v>7</v>
      </c>
      <c r="I149" s="72" t="s">
        <v>110</v>
      </c>
      <c r="J149" s="72" t="s">
        <v>119</v>
      </c>
      <c r="K149" s="72" t="s">
        <v>112</v>
      </c>
      <c r="L149" s="93" t="s">
        <v>113</v>
      </c>
    </row>
    <row r="150">
      <c r="A150" s="68">
        <v>2023.0</v>
      </c>
      <c r="B150" s="68">
        <v>9.0</v>
      </c>
      <c r="C150" s="68">
        <v>1.0</v>
      </c>
      <c r="D150" s="72" t="s">
        <v>11</v>
      </c>
      <c r="E150" s="106">
        <v>155.56</v>
      </c>
      <c r="F150" s="69">
        <v>0.967823</v>
      </c>
      <c r="G150" s="105">
        <f t="shared" ref="G150:G151" si="14">sum(E150*F150)</f>
        <v>150.5545459</v>
      </c>
      <c r="H150" s="72" t="s">
        <v>12</v>
      </c>
      <c r="I150" s="72" t="s">
        <v>110</v>
      </c>
      <c r="J150" s="72" t="s">
        <v>111</v>
      </c>
      <c r="K150" s="72" t="s">
        <v>116</v>
      </c>
      <c r="L150" s="93" t="s">
        <v>113</v>
      </c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>
      <c r="A151" s="68">
        <v>2023.0</v>
      </c>
      <c r="B151" s="68">
        <v>9.0</v>
      </c>
      <c r="C151" s="68">
        <v>7.0</v>
      </c>
      <c r="D151" s="69" t="s">
        <v>79</v>
      </c>
      <c r="E151" s="104">
        <v>175.8</v>
      </c>
      <c r="F151" s="69">
        <v>3.0</v>
      </c>
      <c r="G151" s="105">
        <f t="shared" si="14"/>
        <v>527.4</v>
      </c>
      <c r="H151" s="72" t="s">
        <v>12</v>
      </c>
      <c r="I151" s="72" t="s">
        <v>110</v>
      </c>
      <c r="J151" s="72" t="s">
        <v>111</v>
      </c>
      <c r="K151" s="72" t="s">
        <v>112</v>
      </c>
      <c r="L151" s="93" t="s">
        <v>113</v>
      </c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>
      <c r="A152" s="89">
        <v>2023.0</v>
      </c>
      <c r="B152" s="89">
        <v>9.0</v>
      </c>
      <c r="C152" s="89">
        <v>8.0</v>
      </c>
      <c r="D152" s="90" t="s">
        <v>43</v>
      </c>
      <c r="E152" s="106">
        <v>55.68</v>
      </c>
      <c r="F152" s="90">
        <v>7.0</v>
      </c>
      <c r="G152" s="72">
        <v>389.76</v>
      </c>
      <c r="H152" s="72" t="s">
        <v>12</v>
      </c>
      <c r="I152" s="72" t="s">
        <v>110</v>
      </c>
      <c r="J152" s="72" t="s">
        <v>111</v>
      </c>
      <c r="K152" s="72" t="s">
        <v>112</v>
      </c>
      <c r="L152" s="93" t="s">
        <v>113</v>
      </c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>
      <c r="A153" s="89">
        <v>2023.0</v>
      </c>
      <c r="B153" s="89">
        <v>9.0</v>
      </c>
      <c r="C153" s="89">
        <v>8.0</v>
      </c>
      <c r="D153" s="90" t="s">
        <v>63</v>
      </c>
      <c r="E153" s="106">
        <v>58.9</v>
      </c>
      <c r="F153" s="90">
        <v>3.0</v>
      </c>
      <c r="G153" s="72">
        <v>176.7</v>
      </c>
      <c r="H153" s="72" t="s">
        <v>12</v>
      </c>
      <c r="I153" s="72" t="s">
        <v>110</v>
      </c>
      <c r="J153" s="72" t="s">
        <v>111</v>
      </c>
      <c r="K153" s="72" t="s">
        <v>112</v>
      </c>
      <c r="L153" s="93" t="s">
        <v>113</v>
      </c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>
      <c r="A154" s="68">
        <v>2023.0</v>
      </c>
      <c r="B154" s="89">
        <v>9.0</v>
      </c>
      <c r="C154" s="89">
        <v>14.0</v>
      </c>
      <c r="D154" s="69" t="s">
        <v>83</v>
      </c>
      <c r="E154" s="91">
        <v>550000.0</v>
      </c>
      <c r="F154" s="90">
        <v>1.0</v>
      </c>
      <c r="G154" s="71">
        <f>sum(E154*F154)</f>
        <v>550000</v>
      </c>
      <c r="H154" s="72" t="s">
        <v>7</v>
      </c>
      <c r="I154" s="72" t="s">
        <v>110</v>
      </c>
      <c r="J154" s="72" t="s">
        <v>111</v>
      </c>
      <c r="K154" s="72" t="s">
        <v>112</v>
      </c>
      <c r="L154" s="93" t="s">
        <v>113</v>
      </c>
    </row>
    <row r="155">
      <c r="A155" s="72">
        <v>2023.0</v>
      </c>
      <c r="B155" s="72">
        <v>9.0</v>
      </c>
      <c r="C155" s="72">
        <v>15.0</v>
      </c>
      <c r="D155" s="72" t="s">
        <v>26</v>
      </c>
      <c r="E155" s="92">
        <v>11730.0</v>
      </c>
      <c r="F155" s="72">
        <v>5.0</v>
      </c>
      <c r="G155" s="92">
        <v>58650.0</v>
      </c>
      <c r="H155" s="72" t="s">
        <v>7</v>
      </c>
      <c r="I155" s="72" t="s">
        <v>110</v>
      </c>
      <c r="J155" s="72" t="s">
        <v>119</v>
      </c>
      <c r="K155" s="72" t="s">
        <v>112</v>
      </c>
      <c r="L155" s="93" t="s">
        <v>113</v>
      </c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>
      <c r="A156" s="72">
        <v>2023.0</v>
      </c>
      <c r="B156" s="72">
        <v>9.0</v>
      </c>
      <c r="C156" s="72">
        <v>15.0</v>
      </c>
      <c r="D156" s="72" t="s">
        <v>6</v>
      </c>
      <c r="E156" s="92">
        <v>12560.0</v>
      </c>
      <c r="F156" s="72">
        <v>8.0</v>
      </c>
      <c r="G156" s="92">
        <v>100480.0</v>
      </c>
      <c r="H156" s="72" t="s">
        <v>7</v>
      </c>
      <c r="I156" s="72" t="s">
        <v>110</v>
      </c>
      <c r="J156" s="72" t="s">
        <v>119</v>
      </c>
      <c r="K156" s="72" t="s">
        <v>112</v>
      </c>
      <c r="L156" s="93" t="s">
        <v>113</v>
      </c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>
      <c r="A157" s="72">
        <v>2023.0</v>
      </c>
      <c r="B157" s="72">
        <v>9.0</v>
      </c>
      <c r="C157" s="72">
        <v>15.0</v>
      </c>
      <c r="D157" s="72" t="s">
        <v>23</v>
      </c>
      <c r="E157" s="92">
        <v>15570.0</v>
      </c>
      <c r="F157" s="72">
        <v>5.0</v>
      </c>
      <c r="G157" s="92">
        <v>77850.0</v>
      </c>
      <c r="H157" s="72" t="s">
        <v>7</v>
      </c>
      <c r="I157" s="72" t="s">
        <v>110</v>
      </c>
      <c r="J157" s="72" t="s">
        <v>119</v>
      </c>
      <c r="K157" s="72" t="s">
        <v>112</v>
      </c>
      <c r="L157" s="93" t="s">
        <v>113</v>
      </c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>
      <c r="A158" s="72">
        <v>2023.0</v>
      </c>
      <c r="B158" s="72">
        <v>9.0</v>
      </c>
      <c r="C158" s="72">
        <v>15.0</v>
      </c>
      <c r="D158" s="72" t="s">
        <v>17</v>
      </c>
      <c r="E158" s="92">
        <v>14805.0</v>
      </c>
      <c r="F158" s="72">
        <v>8.0</v>
      </c>
      <c r="G158" s="92">
        <v>118440.0</v>
      </c>
      <c r="H158" s="72" t="s">
        <v>7</v>
      </c>
      <c r="I158" s="72" t="s">
        <v>110</v>
      </c>
      <c r="J158" s="72" t="s">
        <v>119</v>
      </c>
      <c r="K158" s="72" t="s">
        <v>112</v>
      </c>
      <c r="L158" s="93" t="s">
        <v>113</v>
      </c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>
      <c r="A159" s="68">
        <v>2023.0</v>
      </c>
      <c r="B159" s="68">
        <v>9.0</v>
      </c>
      <c r="C159" s="68">
        <v>18.0</v>
      </c>
      <c r="D159" s="90" t="s">
        <v>85</v>
      </c>
      <c r="E159" s="104">
        <v>33.5</v>
      </c>
      <c r="F159" s="69">
        <v>6.0</v>
      </c>
      <c r="G159" s="105">
        <f t="shared" ref="G159:G163" si="15">sum(E159*F159)</f>
        <v>201</v>
      </c>
      <c r="H159" s="72" t="s">
        <v>12</v>
      </c>
      <c r="I159" s="72" t="s">
        <v>110</v>
      </c>
      <c r="J159" s="72" t="s">
        <v>111</v>
      </c>
      <c r="K159" s="72" t="s">
        <v>112</v>
      </c>
      <c r="L159" s="93" t="s">
        <v>113</v>
      </c>
      <c r="M159" s="93" t="s">
        <v>113</v>
      </c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>
      <c r="A160" s="68">
        <v>2023.0</v>
      </c>
      <c r="B160" s="68">
        <v>9.0</v>
      </c>
      <c r="C160" s="68">
        <v>18.0</v>
      </c>
      <c r="D160" s="90" t="s">
        <v>63</v>
      </c>
      <c r="E160" s="104">
        <v>57.7</v>
      </c>
      <c r="F160" s="69">
        <v>3.0</v>
      </c>
      <c r="G160" s="105">
        <f t="shared" si="15"/>
        <v>173.1</v>
      </c>
      <c r="H160" s="72" t="s">
        <v>12</v>
      </c>
      <c r="I160" s="72" t="s">
        <v>110</v>
      </c>
      <c r="J160" s="72" t="s">
        <v>111</v>
      </c>
      <c r="K160" s="72" t="s">
        <v>112</v>
      </c>
      <c r="L160" s="93" t="s">
        <v>113</v>
      </c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>
      <c r="A161" s="68">
        <v>2023.0</v>
      </c>
      <c r="B161" s="68">
        <v>9.0</v>
      </c>
      <c r="C161" s="68">
        <v>21.0</v>
      </c>
      <c r="D161" s="69" t="s">
        <v>11</v>
      </c>
      <c r="E161" s="104">
        <v>141.3</v>
      </c>
      <c r="F161" s="69">
        <v>1.0</v>
      </c>
      <c r="G161" s="105">
        <f t="shared" si="15"/>
        <v>141.3</v>
      </c>
      <c r="H161" s="72" t="s">
        <v>12</v>
      </c>
      <c r="I161" s="72" t="s">
        <v>110</v>
      </c>
      <c r="J161" s="72" t="s">
        <v>111</v>
      </c>
      <c r="K161" s="72" t="s">
        <v>112</v>
      </c>
      <c r="L161" s="93" t="s">
        <v>113</v>
      </c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>
      <c r="A162" s="68">
        <v>2023.0</v>
      </c>
      <c r="B162" s="68">
        <v>9.0</v>
      </c>
      <c r="C162" s="68">
        <v>21.0</v>
      </c>
      <c r="D162" s="90" t="s">
        <v>41</v>
      </c>
      <c r="E162" s="104">
        <v>317.8</v>
      </c>
      <c r="F162" s="69">
        <v>1.0</v>
      </c>
      <c r="G162" s="105">
        <f t="shared" si="15"/>
        <v>317.8</v>
      </c>
      <c r="H162" s="72" t="s">
        <v>12</v>
      </c>
      <c r="I162" s="72" t="s">
        <v>110</v>
      </c>
      <c r="J162" s="72" t="s">
        <v>111</v>
      </c>
      <c r="K162" s="72" t="s">
        <v>112</v>
      </c>
      <c r="L162" s="93" t="s">
        <v>113</v>
      </c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>
      <c r="A163" s="68">
        <v>2023.0</v>
      </c>
      <c r="B163" s="68">
        <v>10.0</v>
      </c>
      <c r="C163" s="68">
        <v>2.0</v>
      </c>
      <c r="D163" s="69" t="s">
        <v>11</v>
      </c>
      <c r="E163" s="104">
        <v>146.25</v>
      </c>
      <c r="F163" s="69">
        <v>1.000683</v>
      </c>
      <c r="G163" s="105">
        <f t="shared" si="15"/>
        <v>146.3498888</v>
      </c>
      <c r="H163" s="72" t="s">
        <v>12</v>
      </c>
      <c r="I163" s="72" t="s">
        <v>110</v>
      </c>
      <c r="J163" s="72" t="s">
        <v>111</v>
      </c>
      <c r="K163" s="72" t="s">
        <v>116</v>
      </c>
      <c r="L163" s="93" t="s">
        <v>113</v>
      </c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>
      <c r="A164" s="89">
        <v>2023.0</v>
      </c>
      <c r="B164" s="89">
        <v>10.0</v>
      </c>
      <c r="C164" s="89">
        <v>4.0</v>
      </c>
      <c r="D164" s="90" t="s">
        <v>43</v>
      </c>
      <c r="E164" s="106">
        <v>50.65</v>
      </c>
      <c r="F164" s="90">
        <v>5.0</v>
      </c>
      <c r="G164" s="72">
        <v>253.25</v>
      </c>
      <c r="H164" s="72" t="s">
        <v>12</v>
      </c>
      <c r="I164" s="72" t="s">
        <v>110</v>
      </c>
      <c r="J164" s="72" t="s">
        <v>111</v>
      </c>
      <c r="K164" s="72" t="s">
        <v>112</v>
      </c>
      <c r="L164" s="93" t="s">
        <v>113</v>
      </c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>
      <c r="A165" s="74">
        <v>2023.0</v>
      </c>
      <c r="B165" s="74">
        <v>10.0</v>
      </c>
      <c r="C165" s="112">
        <v>18.0</v>
      </c>
      <c r="D165" s="75" t="s">
        <v>6</v>
      </c>
      <c r="E165" s="76">
        <v>12500.0</v>
      </c>
      <c r="F165" s="75">
        <v>10.0</v>
      </c>
      <c r="G165" s="77">
        <f t="shared" ref="G165:G166" si="16">sum(E165*F165)</f>
        <v>125000</v>
      </c>
      <c r="H165" s="78" t="s">
        <v>7</v>
      </c>
      <c r="I165" s="78" t="s">
        <v>110</v>
      </c>
      <c r="J165" s="78" t="s">
        <v>119</v>
      </c>
      <c r="K165" s="78" t="s">
        <v>112</v>
      </c>
      <c r="L165" s="109" t="s">
        <v>113</v>
      </c>
    </row>
    <row r="166">
      <c r="A166" s="74">
        <v>2023.0</v>
      </c>
      <c r="B166" s="74">
        <v>10.0</v>
      </c>
      <c r="C166" s="112">
        <v>18.0</v>
      </c>
      <c r="D166" s="79" t="s">
        <v>20</v>
      </c>
      <c r="E166" s="76">
        <v>10170.0</v>
      </c>
      <c r="F166" s="75">
        <v>10.0</v>
      </c>
      <c r="G166" s="77">
        <f t="shared" si="16"/>
        <v>101700</v>
      </c>
      <c r="H166" s="78" t="s">
        <v>7</v>
      </c>
      <c r="I166" s="78" t="s">
        <v>110</v>
      </c>
      <c r="J166" s="78" t="s">
        <v>119</v>
      </c>
      <c r="K166" s="78" t="s">
        <v>112</v>
      </c>
      <c r="L166" s="109" t="s">
        <v>113</v>
      </c>
    </row>
    <row r="167">
      <c r="A167" s="72">
        <v>2023.0</v>
      </c>
      <c r="B167" s="72">
        <v>11.0</v>
      </c>
      <c r="C167" s="72">
        <v>1.0</v>
      </c>
      <c r="D167" s="72" t="s">
        <v>11</v>
      </c>
      <c r="E167" s="111">
        <v>139.77</v>
      </c>
      <c r="F167" s="72">
        <v>1.045389</v>
      </c>
      <c r="G167" s="111">
        <v>146.11</v>
      </c>
      <c r="H167" s="72" t="s">
        <v>12</v>
      </c>
      <c r="I167" s="72" t="s">
        <v>110</v>
      </c>
      <c r="J167" s="72" t="s">
        <v>111</v>
      </c>
      <c r="K167" s="72" t="s">
        <v>116</v>
      </c>
      <c r="L167" s="93" t="s">
        <v>113</v>
      </c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>
      <c r="A168" s="72">
        <v>2023.0</v>
      </c>
      <c r="B168" s="72">
        <v>11.0</v>
      </c>
      <c r="C168" s="72">
        <v>16.0</v>
      </c>
      <c r="D168" s="72" t="s">
        <v>20</v>
      </c>
      <c r="E168" s="92">
        <v>9770.0</v>
      </c>
      <c r="F168" s="72">
        <v>11.0</v>
      </c>
      <c r="G168" s="92">
        <v>107470.0</v>
      </c>
      <c r="H168" s="72" t="s">
        <v>7</v>
      </c>
      <c r="I168" s="72" t="s">
        <v>110</v>
      </c>
      <c r="J168" s="72" t="s">
        <v>119</v>
      </c>
      <c r="K168" s="72" t="s">
        <v>112</v>
      </c>
      <c r="L168" s="93" t="s">
        <v>113</v>
      </c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>
      <c r="A169" s="72">
        <v>2023.0</v>
      </c>
      <c r="B169" s="72">
        <v>11.0</v>
      </c>
      <c r="C169" s="72">
        <v>16.0</v>
      </c>
      <c r="D169" s="72" t="s">
        <v>26</v>
      </c>
      <c r="E169" s="92">
        <v>11875.0</v>
      </c>
      <c r="F169" s="72">
        <v>5.0</v>
      </c>
      <c r="G169" s="92">
        <v>59375.0</v>
      </c>
      <c r="H169" s="72" t="s">
        <v>7</v>
      </c>
      <c r="I169" s="72" t="s">
        <v>110</v>
      </c>
      <c r="J169" s="72" t="s">
        <v>119</v>
      </c>
      <c r="K169" s="72" t="s">
        <v>112</v>
      </c>
      <c r="L169" s="93" t="s">
        <v>113</v>
      </c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>
      <c r="A170" s="72">
        <v>2023.0</v>
      </c>
      <c r="B170" s="72">
        <v>11.0</v>
      </c>
      <c r="C170" s="72">
        <v>16.0</v>
      </c>
      <c r="D170" s="72" t="s">
        <v>23</v>
      </c>
      <c r="E170" s="92">
        <v>15675.0</v>
      </c>
      <c r="F170" s="72">
        <v>7.0</v>
      </c>
      <c r="G170" s="92">
        <v>109725.0</v>
      </c>
      <c r="H170" s="72" t="s">
        <v>7</v>
      </c>
      <c r="I170" s="72" t="s">
        <v>110</v>
      </c>
      <c r="J170" s="72" t="s">
        <v>119</v>
      </c>
      <c r="K170" s="72" t="s">
        <v>112</v>
      </c>
      <c r="L170" s="93" t="s">
        <v>113</v>
      </c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>
      <c r="A171" s="72">
        <v>2023.0</v>
      </c>
      <c r="B171" s="72">
        <v>11.0</v>
      </c>
      <c r="C171" s="72">
        <v>16.0</v>
      </c>
      <c r="D171" s="72" t="s">
        <v>17</v>
      </c>
      <c r="E171" s="92">
        <v>14550.0</v>
      </c>
      <c r="F171" s="72">
        <v>8.0</v>
      </c>
      <c r="G171" s="92">
        <v>116400.0</v>
      </c>
      <c r="H171" s="72" t="s">
        <v>7</v>
      </c>
      <c r="I171" s="72" t="s">
        <v>110</v>
      </c>
      <c r="J171" s="72" t="s">
        <v>119</v>
      </c>
      <c r="K171" s="72" t="s">
        <v>112</v>
      </c>
      <c r="L171" s="93" t="s">
        <v>113</v>
      </c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>
      <c r="A172" s="72">
        <v>2023.0</v>
      </c>
      <c r="B172" s="72">
        <v>12.0</v>
      </c>
      <c r="C172" s="72">
        <v>2.0</v>
      </c>
      <c r="D172" s="72" t="s">
        <v>11</v>
      </c>
      <c r="E172" s="111">
        <v>159.78</v>
      </c>
      <c r="F172" s="72">
        <v>0.952211</v>
      </c>
      <c r="G172" s="111">
        <v>152.14</v>
      </c>
      <c r="H172" s="72" t="s">
        <v>12</v>
      </c>
      <c r="I172" s="72" t="s">
        <v>110</v>
      </c>
      <c r="J172" s="72" t="s">
        <v>111</v>
      </c>
      <c r="K172" s="72" t="s">
        <v>116</v>
      </c>
      <c r="L172" s="93" t="s">
        <v>113</v>
      </c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>
      <c r="A173" s="72">
        <v>2023.0</v>
      </c>
      <c r="B173" s="72">
        <v>12.0</v>
      </c>
      <c r="C173" s="72">
        <v>14.0</v>
      </c>
      <c r="D173" s="72" t="s">
        <v>85</v>
      </c>
      <c r="E173" s="111">
        <v>26.08</v>
      </c>
      <c r="F173" s="72">
        <v>10.0</v>
      </c>
      <c r="G173" s="111">
        <v>260.9</v>
      </c>
      <c r="H173" s="72" t="s">
        <v>12</v>
      </c>
      <c r="I173" s="72" t="s">
        <v>110</v>
      </c>
      <c r="J173" s="72" t="s">
        <v>111</v>
      </c>
      <c r="K173" s="72" t="s">
        <v>112</v>
      </c>
      <c r="L173" s="93" t="s">
        <v>113</v>
      </c>
      <c r="M173" s="93" t="s">
        <v>113</v>
      </c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>
      <c r="A174" s="72">
        <v>2024.0</v>
      </c>
      <c r="B174" s="72">
        <v>1.0</v>
      </c>
      <c r="C174" s="72">
        <v>3.0</v>
      </c>
      <c r="D174" s="72" t="s">
        <v>11</v>
      </c>
      <c r="E174" s="111">
        <v>170.01</v>
      </c>
      <c r="F174" s="72">
        <v>0.889477</v>
      </c>
      <c r="G174" s="111">
        <v>151.22</v>
      </c>
      <c r="H174" s="72" t="s">
        <v>12</v>
      </c>
      <c r="I174" s="72" t="s">
        <v>110</v>
      </c>
      <c r="J174" s="72" t="s">
        <v>111</v>
      </c>
      <c r="K174" s="72" t="s">
        <v>116</v>
      </c>
      <c r="L174" s="93" t="s">
        <v>113</v>
      </c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>
      <c r="A175" s="72">
        <v>2024.0</v>
      </c>
      <c r="B175" s="72">
        <v>1.0</v>
      </c>
      <c r="C175" s="72">
        <v>16.0</v>
      </c>
      <c r="D175" s="72" t="s">
        <v>20</v>
      </c>
      <c r="E175" s="92">
        <v>10720.0</v>
      </c>
      <c r="F175" s="72">
        <v>10.0</v>
      </c>
      <c r="G175" s="92">
        <v>107200.0</v>
      </c>
      <c r="H175" s="72" t="s">
        <v>7</v>
      </c>
      <c r="I175" s="72" t="s">
        <v>110</v>
      </c>
      <c r="J175" s="72" t="s">
        <v>119</v>
      </c>
      <c r="K175" s="72" t="s">
        <v>112</v>
      </c>
      <c r="L175" s="93" t="s">
        <v>113</v>
      </c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>
      <c r="A176" s="72">
        <v>2024.0</v>
      </c>
      <c r="B176" s="72">
        <v>1.0</v>
      </c>
      <c r="C176" s="72">
        <v>16.0</v>
      </c>
      <c r="D176" s="72" t="s">
        <v>26</v>
      </c>
      <c r="E176" s="92">
        <v>12300.0</v>
      </c>
      <c r="F176" s="72">
        <v>5.0</v>
      </c>
      <c r="G176" s="92">
        <v>61500.0</v>
      </c>
      <c r="H176" s="72" t="s">
        <v>7</v>
      </c>
      <c r="I176" s="72" t="s">
        <v>110</v>
      </c>
      <c r="J176" s="72" t="s">
        <v>119</v>
      </c>
      <c r="K176" s="72" t="s">
        <v>112</v>
      </c>
      <c r="L176" s="93" t="s">
        <v>113</v>
      </c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>
      <c r="A177" s="72">
        <v>2024.0</v>
      </c>
      <c r="B177" s="72">
        <v>1.0</v>
      </c>
      <c r="C177" s="72">
        <v>16.0</v>
      </c>
      <c r="D177" s="72" t="s">
        <v>6</v>
      </c>
      <c r="E177" s="92">
        <v>14195.0</v>
      </c>
      <c r="F177" s="72">
        <v>10.0</v>
      </c>
      <c r="G177" s="92">
        <v>141950.0</v>
      </c>
      <c r="H177" s="72" t="s">
        <v>7</v>
      </c>
      <c r="I177" s="72" t="s">
        <v>110</v>
      </c>
      <c r="J177" s="72" t="s">
        <v>119</v>
      </c>
      <c r="K177" s="72" t="s">
        <v>112</v>
      </c>
      <c r="L177" s="93" t="s">
        <v>113</v>
      </c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>
      <c r="A178" s="72">
        <v>2024.0</v>
      </c>
      <c r="B178" s="72">
        <v>1.0</v>
      </c>
      <c r="C178" s="72">
        <v>16.0</v>
      </c>
      <c r="D178" s="72" t="s">
        <v>23</v>
      </c>
      <c r="E178" s="92">
        <v>16950.0</v>
      </c>
      <c r="F178" s="72">
        <v>10.0</v>
      </c>
      <c r="G178" s="92">
        <v>169500.0</v>
      </c>
      <c r="H178" s="72" t="s">
        <v>7</v>
      </c>
      <c r="I178" s="72" t="s">
        <v>110</v>
      </c>
      <c r="J178" s="72" t="s">
        <v>119</v>
      </c>
      <c r="K178" s="72" t="s">
        <v>112</v>
      </c>
      <c r="L178" s="93" t="s">
        <v>113</v>
      </c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>
      <c r="A179" s="72">
        <v>2024.0</v>
      </c>
      <c r="B179" s="72">
        <v>1.0</v>
      </c>
      <c r="C179" s="72">
        <v>16.0</v>
      </c>
      <c r="D179" s="72" t="s">
        <v>17</v>
      </c>
      <c r="E179" s="92">
        <v>15720.0</v>
      </c>
      <c r="F179" s="72">
        <v>10.0</v>
      </c>
      <c r="G179" s="92">
        <v>157200.0</v>
      </c>
      <c r="H179" s="72" t="s">
        <v>7</v>
      </c>
      <c r="I179" s="72" t="s">
        <v>110</v>
      </c>
      <c r="J179" s="72" t="s">
        <v>119</v>
      </c>
      <c r="K179" s="72" t="s">
        <v>112</v>
      </c>
      <c r="L179" s="93" t="s">
        <v>113</v>
      </c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>
      <c r="A180" s="72">
        <v>2024.0</v>
      </c>
      <c r="B180" s="72">
        <v>1.0</v>
      </c>
      <c r="C180" s="72">
        <v>26.0</v>
      </c>
      <c r="D180" s="72" t="s">
        <v>43</v>
      </c>
      <c r="E180" s="111">
        <v>55.16</v>
      </c>
      <c r="F180" s="72">
        <v>3.0</v>
      </c>
      <c r="G180" s="111">
        <v>165.48</v>
      </c>
      <c r="H180" s="72" t="s">
        <v>12</v>
      </c>
      <c r="I180" s="72" t="s">
        <v>110</v>
      </c>
      <c r="J180" s="72" t="s">
        <v>111</v>
      </c>
      <c r="K180" s="72" t="s">
        <v>112</v>
      </c>
      <c r="L180" s="93" t="s">
        <v>113</v>
      </c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>
      <c r="A181" s="72">
        <v>2024.0</v>
      </c>
      <c r="B181" s="72">
        <v>1.0</v>
      </c>
      <c r="C181" s="72">
        <v>26.0</v>
      </c>
      <c r="D181" s="72" t="s">
        <v>85</v>
      </c>
      <c r="E181" s="111">
        <v>27.5</v>
      </c>
      <c r="F181" s="72">
        <v>5.0</v>
      </c>
      <c r="G181" s="111">
        <v>137.5</v>
      </c>
      <c r="H181" s="72" t="s">
        <v>12</v>
      </c>
      <c r="I181" s="72" t="s">
        <v>110</v>
      </c>
      <c r="J181" s="72" t="s">
        <v>111</v>
      </c>
      <c r="K181" s="72" t="s">
        <v>112</v>
      </c>
      <c r="L181" s="93" t="s">
        <v>113</v>
      </c>
      <c r="M181" s="93" t="s">
        <v>113</v>
      </c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>
      <c r="A182" s="72">
        <v>2024.0</v>
      </c>
      <c r="B182" s="72">
        <v>1.0</v>
      </c>
      <c r="C182" s="72">
        <v>26.0</v>
      </c>
      <c r="D182" s="72" t="s">
        <v>63</v>
      </c>
      <c r="E182" s="111">
        <v>58.69</v>
      </c>
      <c r="F182" s="72">
        <v>3.0</v>
      </c>
      <c r="G182" s="111">
        <v>176.07</v>
      </c>
      <c r="H182" s="72" t="s">
        <v>12</v>
      </c>
      <c r="I182" s="72" t="s">
        <v>110</v>
      </c>
      <c r="J182" s="72" t="s">
        <v>111</v>
      </c>
      <c r="K182" s="72" t="s">
        <v>112</v>
      </c>
      <c r="L182" s="93" t="s">
        <v>113</v>
      </c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>
      <c r="A183" s="72">
        <v>2024.0</v>
      </c>
      <c r="B183" s="72">
        <v>2.0</v>
      </c>
      <c r="C183" s="72">
        <v>2.0</v>
      </c>
      <c r="D183" s="72" t="s">
        <v>11</v>
      </c>
      <c r="E183" s="111">
        <v>186.06</v>
      </c>
      <c r="F183" s="72">
        <v>0.79872</v>
      </c>
      <c r="G183" s="111">
        <v>148.61</v>
      </c>
      <c r="H183" s="72" t="s">
        <v>12</v>
      </c>
      <c r="I183" s="72" t="s">
        <v>110</v>
      </c>
      <c r="J183" s="72" t="s">
        <v>111</v>
      </c>
      <c r="K183" s="72" t="s">
        <v>116</v>
      </c>
      <c r="L183" s="93" t="s">
        <v>113</v>
      </c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>
      <c r="A184" s="72">
        <v>2024.0</v>
      </c>
      <c r="B184" s="72">
        <v>3.0</v>
      </c>
      <c r="C184" s="72">
        <v>2.0</v>
      </c>
      <c r="D184" s="72" t="s">
        <v>11</v>
      </c>
      <c r="E184" s="111">
        <v>217.0</v>
      </c>
      <c r="F184" s="72">
        <v>0.684976</v>
      </c>
      <c r="G184" s="111">
        <v>148.63</v>
      </c>
      <c r="H184" s="72" t="s">
        <v>12</v>
      </c>
      <c r="I184" s="72" t="s">
        <v>110</v>
      </c>
      <c r="J184" s="72" t="s">
        <v>111</v>
      </c>
      <c r="K184" s="72" t="s">
        <v>116</v>
      </c>
      <c r="L184" s="93" t="s">
        <v>113</v>
      </c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>
      <c r="A185" s="72">
        <v>2024.0</v>
      </c>
      <c r="B185" s="72">
        <v>3.0</v>
      </c>
      <c r="C185" s="72">
        <v>5.0</v>
      </c>
      <c r="D185" s="72" t="s">
        <v>20</v>
      </c>
      <c r="E185" s="92">
        <v>11000.0</v>
      </c>
      <c r="F185" s="72">
        <v>10.0</v>
      </c>
      <c r="G185" s="92">
        <v>110000.0</v>
      </c>
      <c r="H185" s="72" t="s">
        <v>7</v>
      </c>
      <c r="I185" s="72" t="s">
        <v>110</v>
      </c>
      <c r="J185" s="72" t="s">
        <v>119</v>
      </c>
      <c r="K185" s="72" t="s">
        <v>112</v>
      </c>
      <c r="L185" s="93" t="s">
        <v>113</v>
      </c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>
      <c r="A186" s="72">
        <v>2024.0</v>
      </c>
      <c r="B186" s="72">
        <v>3.0</v>
      </c>
      <c r="C186" s="72">
        <v>5.0</v>
      </c>
      <c r="D186" s="72" t="s">
        <v>14</v>
      </c>
      <c r="E186" s="92">
        <v>10525.0</v>
      </c>
      <c r="F186" s="72">
        <v>5.0</v>
      </c>
      <c r="G186" s="92">
        <v>52625.0</v>
      </c>
      <c r="H186" s="72" t="s">
        <v>7</v>
      </c>
      <c r="I186" s="72" t="s">
        <v>110</v>
      </c>
      <c r="J186" s="72" t="s">
        <v>119</v>
      </c>
      <c r="K186" s="72" t="s">
        <v>112</v>
      </c>
      <c r="L186" s="93" t="s">
        <v>113</v>
      </c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>
      <c r="A187" s="72">
        <v>2024.0</v>
      </c>
      <c r="B187" s="72">
        <v>3.0</v>
      </c>
      <c r="C187" s="72">
        <v>5.0</v>
      </c>
      <c r="D187" s="72" t="s">
        <v>26</v>
      </c>
      <c r="E187" s="92">
        <v>12455.0</v>
      </c>
      <c r="F187" s="72">
        <v>9.0</v>
      </c>
      <c r="G187" s="92">
        <v>112095.0</v>
      </c>
      <c r="H187" s="72" t="s">
        <v>7</v>
      </c>
      <c r="I187" s="72" t="s">
        <v>110</v>
      </c>
      <c r="J187" s="72" t="s">
        <v>119</v>
      </c>
      <c r="K187" s="72" t="s">
        <v>112</v>
      </c>
      <c r="L187" s="93" t="s">
        <v>113</v>
      </c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>
      <c r="A188" s="72">
        <v>2024.0</v>
      </c>
      <c r="B188" s="72">
        <v>3.0</v>
      </c>
      <c r="C188" s="72">
        <v>5.0</v>
      </c>
      <c r="D188" s="72" t="s">
        <v>6</v>
      </c>
      <c r="E188" s="92">
        <v>16270.0</v>
      </c>
      <c r="F188" s="72">
        <v>7.0</v>
      </c>
      <c r="G188" s="92">
        <v>113890.0</v>
      </c>
      <c r="H188" s="72" t="s">
        <v>7</v>
      </c>
      <c r="I188" s="72" t="s">
        <v>110</v>
      </c>
      <c r="J188" s="72" t="s">
        <v>119</v>
      </c>
      <c r="K188" s="72" t="s">
        <v>112</v>
      </c>
      <c r="L188" s="93" t="s">
        <v>113</v>
      </c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>
      <c r="A189" s="72">
        <v>2024.0</v>
      </c>
      <c r="B189" s="72">
        <v>3.0</v>
      </c>
      <c r="C189" s="72">
        <v>5.0</v>
      </c>
      <c r="D189" s="72" t="s">
        <v>23</v>
      </c>
      <c r="E189" s="92">
        <v>18245.0</v>
      </c>
      <c r="F189" s="72">
        <v>6.0</v>
      </c>
      <c r="G189" s="92">
        <v>109470.0</v>
      </c>
      <c r="H189" s="72" t="s">
        <v>7</v>
      </c>
      <c r="I189" s="72" t="s">
        <v>110</v>
      </c>
      <c r="J189" s="72" t="s">
        <v>119</v>
      </c>
      <c r="K189" s="72" t="s">
        <v>112</v>
      </c>
      <c r="L189" s="93" t="s">
        <v>113</v>
      </c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>
      <c r="A190" s="72">
        <v>2024.0</v>
      </c>
      <c r="B190" s="72">
        <v>3.0</v>
      </c>
      <c r="C190" s="72">
        <v>5.0</v>
      </c>
      <c r="D190" s="72" t="s">
        <v>17</v>
      </c>
      <c r="E190" s="92">
        <v>16880.0</v>
      </c>
      <c r="F190" s="72">
        <v>6.0</v>
      </c>
      <c r="G190" s="92">
        <v>101280.0</v>
      </c>
      <c r="H190" s="72" t="s">
        <v>7</v>
      </c>
      <c r="I190" s="72" t="s">
        <v>110</v>
      </c>
      <c r="J190" s="72" t="s">
        <v>119</v>
      </c>
      <c r="K190" s="72" t="s">
        <v>112</v>
      </c>
      <c r="L190" s="93" t="s">
        <v>113</v>
      </c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>
      <c r="A191" s="72">
        <v>2024.0</v>
      </c>
      <c r="B191" s="72">
        <v>3.0</v>
      </c>
      <c r="C191" s="72">
        <v>25.0</v>
      </c>
      <c r="D191" s="72" t="s">
        <v>37</v>
      </c>
      <c r="E191" s="92">
        <v>79000.0</v>
      </c>
      <c r="F191" s="72">
        <v>50.0</v>
      </c>
      <c r="G191" s="92">
        <v>3950000.0</v>
      </c>
      <c r="H191" s="72" t="s">
        <v>7</v>
      </c>
      <c r="I191" s="72" t="s">
        <v>120</v>
      </c>
      <c r="J191" s="72" t="s">
        <v>111</v>
      </c>
      <c r="K191" s="72" t="s">
        <v>112</v>
      </c>
      <c r="L191" s="93" t="s">
        <v>113</v>
      </c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>
      <c r="A192" s="72">
        <v>2024.0</v>
      </c>
      <c r="B192" s="72">
        <v>4.0</v>
      </c>
      <c r="C192" s="72">
        <v>1.0</v>
      </c>
      <c r="D192" s="72" t="s">
        <v>11</v>
      </c>
      <c r="E192" s="111">
        <v>229.38</v>
      </c>
      <c r="F192" s="72">
        <v>0.640639</v>
      </c>
      <c r="G192" s="111">
        <v>146.95</v>
      </c>
      <c r="H192" s="72" t="s">
        <v>12</v>
      </c>
      <c r="I192" s="72" t="s">
        <v>110</v>
      </c>
      <c r="J192" s="72" t="s">
        <v>111</v>
      </c>
      <c r="K192" s="72" t="s">
        <v>116</v>
      </c>
      <c r="L192" s="93" t="s">
        <v>113</v>
      </c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>
      <c r="A193" s="72">
        <v>2024.0</v>
      </c>
      <c r="B193" s="72">
        <v>4.0</v>
      </c>
      <c r="C193" s="72">
        <v>5.0</v>
      </c>
      <c r="D193" s="72" t="s">
        <v>14</v>
      </c>
      <c r="E193" s="92">
        <v>10690.0</v>
      </c>
      <c r="F193" s="72">
        <v>10.0</v>
      </c>
      <c r="G193" s="92">
        <v>106900.0</v>
      </c>
      <c r="H193" s="72" t="s">
        <v>7</v>
      </c>
      <c r="I193" s="72" t="s">
        <v>110</v>
      </c>
      <c r="J193" s="72" t="s">
        <v>119</v>
      </c>
      <c r="K193" s="72" t="s">
        <v>112</v>
      </c>
      <c r="L193" s="93" t="s">
        <v>113</v>
      </c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>
      <c r="A194" s="72">
        <v>2024.0</v>
      </c>
      <c r="B194" s="72">
        <v>4.0</v>
      </c>
      <c r="C194" s="72">
        <v>5.0</v>
      </c>
      <c r="D194" s="72" t="s">
        <v>6</v>
      </c>
      <c r="E194" s="92">
        <v>17470.0</v>
      </c>
      <c r="F194" s="72">
        <v>10.0</v>
      </c>
      <c r="G194" s="92">
        <v>174700.0</v>
      </c>
      <c r="H194" s="72" t="s">
        <v>7</v>
      </c>
      <c r="I194" s="72" t="s">
        <v>110</v>
      </c>
      <c r="J194" s="72" t="s">
        <v>119</v>
      </c>
      <c r="K194" s="72" t="s">
        <v>112</v>
      </c>
      <c r="L194" s="93" t="s">
        <v>113</v>
      </c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>
      <c r="A195" s="72">
        <v>2024.0</v>
      </c>
      <c r="B195" s="72">
        <v>4.0</v>
      </c>
      <c r="C195" s="72">
        <v>5.0</v>
      </c>
      <c r="D195" s="72" t="s">
        <v>23</v>
      </c>
      <c r="E195" s="92">
        <v>18750.0</v>
      </c>
      <c r="F195" s="72">
        <v>5.0</v>
      </c>
      <c r="G195" s="92">
        <v>93750.0</v>
      </c>
      <c r="H195" s="72" t="s">
        <v>7</v>
      </c>
      <c r="I195" s="72" t="s">
        <v>110</v>
      </c>
      <c r="J195" s="72" t="s">
        <v>119</v>
      </c>
      <c r="K195" s="72" t="s">
        <v>112</v>
      </c>
      <c r="L195" s="93" t="s">
        <v>113</v>
      </c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>
      <c r="A196" s="72">
        <v>2024.0</v>
      </c>
      <c r="B196" s="72">
        <v>4.0</v>
      </c>
      <c r="C196" s="72">
        <v>5.0</v>
      </c>
      <c r="D196" s="72" t="s">
        <v>17</v>
      </c>
      <c r="E196" s="92">
        <v>17525.0</v>
      </c>
      <c r="F196" s="72">
        <v>6.0</v>
      </c>
      <c r="G196" s="92">
        <v>105150.0</v>
      </c>
      <c r="H196" s="72" t="s">
        <v>7</v>
      </c>
      <c r="I196" s="72" t="s">
        <v>110</v>
      </c>
      <c r="J196" s="72" t="s">
        <v>119</v>
      </c>
      <c r="K196" s="72" t="s">
        <v>112</v>
      </c>
      <c r="L196" s="93" t="s">
        <v>113</v>
      </c>
    </row>
    <row r="197">
      <c r="A197" s="72">
        <v>2024.0</v>
      </c>
      <c r="B197" s="72">
        <v>4.0</v>
      </c>
      <c r="C197" s="72">
        <v>9.0</v>
      </c>
      <c r="D197" s="72" t="s">
        <v>6</v>
      </c>
      <c r="E197" s="92">
        <v>17130.0</v>
      </c>
      <c r="F197" s="72">
        <v>10.0</v>
      </c>
      <c r="G197" s="92">
        <v>171300.0</v>
      </c>
      <c r="H197" s="72" t="s">
        <v>7</v>
      </c>
      <c r="I197" s="72" t="s">
        <v>110</v>
      </c>
      <c r="J197" s="72" t="s">
        <v>119</v>
      </c>
      <c r="K197" s="72" t="s">
        <v>112</v>
      </c>
      <c r="L197" s="93" t="s">
        <v>113</v>
      </c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>
      <c r="A198" s="72">
        <v>2024.0</v>
      </c>
      <c r="B198" s="72">
        <v>4.0</v>
      </c>
      <c r="C198" s="72">
        <v>9.0</v>
      </c>
      <c r="D198" s="72" t="s">
        <v>6</v>
      </c>
      <c r="E198" s="92">
        <v>17100.0</v>
      </c>
      <c r="F198" s="72">
        <v>10.0</v>
      </c>
      <c r="G198" s="92">
        <v>171000.0</v>
      </c>
      <c r="H198" s="72" t="s">
        <v>7</v>
      </c>
      <c r="I198" s="72" t="s">
        <v>110</v>
      </c>
      <c r="J198" s="72" t="s">
        <v>119</v>
      </c>
      <c r="K198" s="72" t="s">
        <v>112</v>
      </c>
      <c r="L198" s="93" t="s">
        <v>113</v>
      </c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>
      <c r="A199" s="72">
        <v>2024.0</v>
      </c>
      <c r="B199" s="72">
        <v>4.0</v>
      </c>
      <c r="C199" s="72">
        <v>9.0</v>
      </c>
      <c r="D199" s="72" t="s">
        <v>23</v>
      </c>
      <c r="E199" s="92">
        <v>18560.0</v>
      </c>
      <c r="F199" s="72">
        <v>6.0</v>
      </c>
      <c r="G199" s="92">
        <v>111360.0</v>
      </c>
      <c r="H199" s="72" t="s">
        <v>7</v>
      </c>
      <c r="I199" s="72" t="s">
        <v>110</v>
      </c>
      <c r="J199" s="72" t="s">
        <v>119</v>
      </c>
      <c r="K199" s="72" t="s">
        <v>112</v>
      </c>
      <c r="L199" s="93" t="s">
        <v>113</v>
      </c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>
      <c r="A200" s="72">
        <v>2024.0</v>
      </c>
      <c r="B200" s="72">
        <v>4.0</v>
      </c>
      <c r="C200" s="72">
        <v>9.0</v>
      </c>
      <c r="D200" s="72" t="s">
        <v>17</v>
      </c>
      <c r="E200" s="92">
        <v>17380.0</v>
      </c>
      <c r="F200" s="72">
        <v>6.0</v>
      </c>
      <c r="G200" s="92">
        <v>104280.0</v>
      </c>
      <c r="H200" s="72" t="s">
        <v>7</v>
      </c>
      <c r="I200" s="72" t="s">
        <v>110</v>
      </c>
      <c r="J200" s="72" t="s">
        <v>119</v>
      </c>
      <c r="K200" s="72" t="s">
        <v>112</v>
      </c>
      <c r="L200" s="93" t="s">
        <v>113</v>
      </c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>
      <c r="A201" s="72">
        <v>2024.0</v>
      </c>
      <c r="B201" s="72">
        <v>4.0</v>
      </c>
      <c r="C201" s="72">
        <v>16.0</v>
      </c>
      <c r="D201" s="72" t="s">
        <v>43</v>
      </c>
      <c r="E201" s="111">
        <v>51.1</v>
      </c>
      <c r="F201" s="72">
        <v>5.0</v>
      </c>
      <c r="G201" s="111">
        <v>255.5</v>
      </c>
      <c r="H201" s="72" t="s">
        <v>12</v>
      </c>
      <c r="I201" s="72" t="s">
        <v>110</v>
      </c>
      <c r="J201" s="72" t="s">
        <v>111</v>
      </c>
      <c r="K201" s="72" t="s">
        <v>112</v>
      </c>
      <c r="L201" s="93" t="s">
        <v>113</v>
      </c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>
      <c r="A202" s="72">
        <v>2024.0</v>
      </c>
      <c r="B202" s="72">
        <v>5.0</v>
      </c>
      <c r="C202" s="72">
        <v>1.0</v>
      </c>
      <c r="D202" s="72" t="s">
        <v>11</v>
      </c>
      <c r="E202" s="111">
        <v>209.41</v>
      </c>
      <c r="F202" s="72">
        <v>0.683243</v>
      </c>
      <c r="G202" s="111">
        <v>143.07</v>
      </c>
      <c r="H202" s="72" t="s">
        <v>12</v>
      </c>
      <c r="I202" s="72" t="s">
        <v>110</v>
      </c>
      <c r="J202" s="72" t="s">
        <v>111</v>
      </c>
      <c r="K202" s="72" t="s">
        <v>116</v>
      </c>
      <c r="L202" s="93" t="s">
        <v>113</v>
      </c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>
      <c r="A203" s="72">
        <v>2024.0</v>
      </c>
      <c r="B203" s="72">
        <v>5.0</v>
      </c>
      <c r="C203" s="72">
        <v>1.0</v>
      </c>
      <c r="D203" s="72" t="s">
        <v>41</v>
      </c>
      <c r="E203" s="111">
        <v>393.56</v>
      </c>
      <c r="F203" s="72">
        <v>0.909156</v>
      </c>
      <c r="G203" s="111">
        <v>357.8</v>
      </c>
      <c r="H203" s="72" t="s">
        <v>12</v>
      </c>
      <c r="I203" s="72" t="s">
        <v>110</v>
      </c>
      <c r="J203" s="72" t="s">
        <v>111</v>
      </c>
      <c r="K203" s="72" t="s">
        <v>116</v>
      </c>
      <c r="L203" s="93" t="s">
        <v>113</v>
      </c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>
      <c r="A204" s="72">
        <v>2024.0</v>
      </c>
      <c r="B204" s="72">
        <v>5.0</v>
      </c>
      <c r="C204" s="72">
        <v>1.0</v>
      </c>
      <c r="D204" s="72" t="s">
        <v>46</v>
      </c>
      <c r="E204" s="111">
        <v>460.02</v>
      </c>
      <c r="F204" s="72">
        <v>0.77771</v>
      </c>
      <c r="G204" s="111">
        <v>357.76</v>
      </c>
      <c r="H204" s="72" t="s">
        <v>12</v>
      </c>
      <c r="I204" s="72" t="s">
        <v>110</v>
      </c>
      <c r="J204" s="72" t="s">
        <v>111</v>
      </c>
      <c r="K204" s="72" t="s">
        <v>116</v>
      </c>
      <c r="L204" s="93" t="s">
        <v>113</v>
      </c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>
      <c r="A205" s="72">
        <v>2024.0</v>
      </c>
      <c r="B205" s="72">
        <v>5.0</v>
      </c>
      <c r="C205" s="72">
        <v>24.0</v>
      </c>
      <c r="D205" s="72" t="s">
        <v>14</v>
      </c>
      <c r="E205" s="92">
        <v>10870.0</v>
      </c>
      <c r="F205" s="72">
        <v>9.0</v>
      </c>
      <c r="G205" s="92">
        <v>97830.0</v>
      </c>
      <c r="H205" s="72" t="s">
        <v>7</v>
      </c>
      <c r="I205" s="72" t="s">
        <v>110</v>
      </c>
      <c r="J205" s="72" t="s">
        <v>111</v>
      </c>
      <c r="K205" s="72" t="s">
        <v>116</v>
      </c>
      <c r="L205" s="93" t="s">
        <v>113</v>
      </c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>
      <c r="A206" s="72">
        <v>2024.0</v>
      </c>
      <c r="B206" s="72">
        <v>5.0</v>
      </c>
      <c r="C206" s="72">
        <v>28.0</v>
      </c>
      <c r="D206" s="72" t="s">
        <v>6</v>
      </c>
      <c r="E206" s="92">
        <v>18600.0</v>
      </c>
      <c r="F206" s="72">
        <v>7.0</v>
      </c>
      <c r="G206" s="92">
        <v>130200.0</v>
      </c>
      <c r="H206" s="72" t="s">
        <v>7</v>
      </c>
      <c r="I206" s="72" t="s">
        <v>110</v>
      </c>
      <c r="J206" s="72" t="s">
        <v>119</v>
      </c>
      <c r="K206" s="72" t="s">
        <v>112</v>
      </c>
      <c r="L206" s="93" t="s">
        <v>113</v>
      </c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>
      <c r="A207" s="72">
        <v>2024.0</v>
      </c>
      <c r="B207" s="72">
        <v>5.0</v>
      </c>
      <c r="C207" s="72">
        <v>28.0</v>
      </c>
      <c r="D207" s="72" t="s">
        <v>20</v>
      </c>
      <c r="E207" s="92">
        <v>11390.0</v>
      </c>
      <c r="F207" s="72">
        <v>10.0</v>
      </c>
      <c r="G207" s="92">
        <v>113900.0</v>
      </c>
      <c r="H207" s="72" t="s">
        <v>7</v>
      </c>
      <c r="I207" s="72" t="s">
        <v>110</v>
      </c>
      <c r="J207" s="72" t="s">
        <v>119</v>
      </c>
      <c r="K207" s="72" t="s">
        <v>112</v>
      </c>
      <c r="L207" s="93" t="s">
        <v>113</v>
      </c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>
      <c r="A208" s="72">
        <v>2024.0</v>
      </c>
      <c r="B208" s="72">
        <v>5.0</v>
      </c>
      <c r="C208" s="72">
        <v>28.0</v>
      </c>
      <c r="D208" s="72" t="s">
        <v>26</v>
      </c>
      <c r="E208" s="92">
        <v>14660.0</v>
      </c>
      <c r="F208" s="72">
        <v>7.0</v>
      </c>
      <c r="G208" s="92">
        <v>102620.0</v>
      </c>
      <c r="H208" s="72" t="s">
        <v>7</v>
      </c>
      <c r="I208" s="72" t="s">
        <v>110</v>
      </c>
      <c r="J208" s="72" t="s">
        <v>119</v>
      </c>
      <c r="K208" s="72" t="s">
        <v>112</v>
      </c>
      <c r="L208" s="93" t="s">
        <v>113</v>
      </c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>
      <c r="A209" s="72">
        <v>2024.0</v>
      </c>
      <c r="B209" s="72">
        <v>5.0</v>
      </c>
      <c r="C209" s="72">
        <v>28.0</v>
      </c>
      <c r="D209" s="72" t="s">
        <v>23</v>
      </c>
      <c r="E209" s="92">
        <v>19560.0</v>
      </c>
      <c r="F209" s="72">
        <v>7.0</v>
      </c>
      <c r="G209" s="92">
        <v>136920.0</v>
      </c>
      <c r="H209" s="72" t="s">
        <v>7</v>
      </c>
      <c r="I209" s="72" t="s">
        <v>110</v>
      </c>
      <c r="J209" s="72" t="s">
        <v>119</v>
      </c>
      <c r="K209" s="72" t="s">
        <v>112</v>
      </c>
      <c r="L209" s="93" t="s">
        <v>113</v>
      </c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>
      <c r="A210" s="72">
        <v>2024.0</v>
      </c>
      <c r="B210" s="72">
        <v>5.0</v>
      </c>
      <c r="C210" s="72">
        <v>28.0</v>
      </c>
      <c r="D210" s="72" t="s">
        <v>17</v>
      </c>
      <c r="E210" s="92">
        <v>18000.0</v>
      </c>
      <c r="F210" s="72">
        <v>7.0</v>
      </c>
      <c r="G210" s="92">
        <v>126000.0</v>
      </c>
      <c r="H210" s="72" t="s">
        <v>7</v>
      </c>
      <c r="I210" s="72" t="s">
        <v>110</v>
      </c>
      <c r="J210" s="72" t="s">
        <v>119</v>
      </c>
      <c r="K210" s="72" t="s">
        <v>112</v>
      </c>
      <c r="L210" s="93" t="s">
        <v>113</v>
      </c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>
      <c r="A211" s="72">
        <v>2024.0</v>
      </c>
      <c r="B211" s="72">
        <v>6.0</v>
      </c>
      <c r="C211" s="72">
        <v>3.0</v>
      </c>
      <c r="D211" s="72" t="s">
        <v>11</v>
      </c>
      <c r="E211" s="111">
        <v>242.54</v>
      </c>
      <c r="F211" s="72">
        <v>1.48505</v>
      </c>
      <c r="G211" s="111">
        <v>360.18</v>
      </c>
      <c r="H211" s="72" t="s">
        <v>12</v>
      </c>
      <c r="I211" s="72" t="s">
        <v>110</v>
      </c>
      <c r="J211" s="72" t="s">
        <v>111</v>
      </c>
      <c r="K211" s="72" t="s">
        <v>116</v>
      </c>
      <c r="L211" s="93" t="s">
        <v>113</v>
      </c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>
      <c r="A212" s="72">
        <v>2024.0</v>
      </c>
      <c r="B212" s="72">
        <v>6.0</v>
      </c>
      <c r="C212" s="72">
        <v>3.0</v>
      </c>
      <c r="D212" s="72" t="s">
        <v>41</v>
      </c>
      <c r="E212" s="111">
        <v>414.76</v>
      </c>
      <c r="F212" s="72">
        <v>0.868404</v>
      </c>
      <c r="G212" s="111">
        <v>360.17</v>
      </c>
      <c r="H212" s="72" t="s">
        <v>12</v>
      </c>
      <c r="I212" s="72" t="s">
        <v>110</v>
      </c>
      <c r="J212" s="72" t="s">
        <v>111</v>
      </c>
      <c r="K212" s="72" t="s">
        <v>116</v>
      </c>
      <c r="L212" s="93" t="s">
        <v>113</v>
      </c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>
      <c r="A213" s="72">
        <v>2024.0</v>
      </c>
      <c r="B213" s="72">
        <v>6.0</v>
      </c>
      <c r="C213" s="72">
        <v>3.0</v>
      </c>
      <c r="D213" s="72" t="s">
        <v>46</v>
      </c>
      <c r="E213" s="111">
        <v>485.7</v>
      </c>
      <c r="F213" s="72">
        <v>0.741342</v>
      </c>
      <c r="G213" s="111">
        <v>360.07</v>
      </c>
      <c r="H213" s="72" t="s">
        <v>12</v>
      </c>
      <c r="I213" s="72" t="s">
        <v>110</v>
      </c>
      <c r="J213" s="72" t="s">
        <v>111</v>
      </c>
      <c r="K213" s="72" t="s">
        <v>116</v>
      </c>
      <c r="L213" s="93" t="s">
        <v>113</v>
      </c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>
      <c r="A214" s="72">
        <v>2024.0</v>
      </c>
      <c r="B214" s="72">
        <v>6.0</v>
      </c>
      <c r="C214" s="72">
        <v>21.0</v>
      </c>
      <c r="D214" s="72" t="s">
        <v>17</v>
      </c>
      <c r="E214" s="92">
        <v>19020.0</v>
      </c>
      <c r="F214" s="72">
        <v>10.0</v>
      </c>
      <c r="G214" s="92">
        <v>190200.0</v>
      </c>
      <c r="H214" s="72" t="s">
        <v>7</v>
      </c>
      <c r="I214" s="72" t="s">
        <v>110</v>
      </c>
      <c r="J214" s="72" t="s">
        <v>119</v>
      </c>
      <c r="K214" s="72" t="s">
        <v>112</v>
      </c>
      <c r="L214" s="93" t="s">
        <v>113</v>
      </c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>
      <c r="A215" s="72">
        <v>2024.0</v>
      </c>
      <c r="B215" s="72">
        <v>6.0</v>
      </c>
      <c r="C215" s="72">
        <v>21.0</v>
      </c>
      <c r="D215" s="72" t="s">
        <v>26</v>
      </c>
      <c r="E215" s="92">
        <v>15000.0</v>
      </c>
      <c r="F215" s="72">
        <v>10.0</v>
      </c>
      <c r="G215" s="92">
        <v>150000.0</v>
      </c>
      <c r="H215" s="72" t="s">
        <v>7</v>
      </c>
      <c r="I215" s="72" t="s">
        <v>110</v>
      </c>
      <c r="J215" s="72" t="s">
        <v>119</v>
      </c>
      <c r="K215" s="72" t="s">
        <v>112</v>
      </c>
      <c r="L215" s="93" t="s">
        <v>113</v>
      </c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>
      <c r="A216" s="72">
        <v>2024.0</v>
      </c>
      <c r="B216" s="72">
        <v>6.0</v>
      </c>
      <c r="C216" s="72">
        <v>21.0</v>
      </c>
      <c r="D216" s="72" t="s">
        <v>6</v>
      </c>
      <c r="E216" s="92">
        <v>20760.0</v>
      </c>
      <c r="F216" s="72">
        <v>10.0</v>
      </c>
      <c r="G216" s="92">
        <v>207600.0</v>
      </c>
      <c r="H216" s="72" t="s">
        <v>7</v>
      </c>
      <c r="I216" s="72" t="s">
        <v>110</v>
      </c>
      <c r="J216" s="72" t="s">
        <v>119</v>
      </c>
      <c r="K216" s="72" t="s">
        <v>112</v>
      </c>
      <c r="L216" s="93" t="s">
        <v>113</v>
      </c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>
      <c r="A217" s="72">
        <v>2024.0</v>
      </c>
      <c r="B217" s="72">
        <v>6.0</v>
      </c>
      <c r="C217" s="72">
        <v>21.0</v>
      </c>
      <c r="D217" s="72" t="s">
        <v>23</v>
      </c>
      <c r="E217" s="92">
        <v>21085.0</v>
      </c>
      <c r="F217" s="72">
        <v>5.0</v>
      </c>
      <c r="G217" s="92">
        <v>105425.0</v>
      </c>
      <c r="H217" s="72" t="s">
        <v>7</v>
      </c>
      <c r="I217" s="72" t="s">
        <v>110</v>
      </c>
      <c r="J217" s="72" t="s">
        <v>119</v>
      </c>
      <c r="K217" s="72" t="s">
        <v>112</v>
      </c>
      <c r="L217" s="93" t="s">
        <v>113</v>
      </c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>
      <c r="A218" s="72">
        <v>2024.0</v>
      </c>
      <c r="B218" s="72">
        <v>7.0</v>
      </c>
      <c r="C218" s="72">
        <v>1.0</v>
      </c>
      <c r="D218" s="72" t="s">
        <v>11</v>
      </c>
      <c r="E218" s="111">
        <v>257.92</v>
      </c>
      <c r="F218" s="72">
        <v>1.391294</v>
      </c>
      <c r="G218" s="111">
        <v>358.84</v>
      </c>
      <c r="H218" s="72" t="s">
        <v>12</v>
      </c>
      <c r="I218" s="72" t="s">
        <v>110</v>
      </c>
      <c r="J218" s="72" t="s">
        <v>111</v>
      </c>
      <c r="K218" s="72" t="s">
        <v>116</v>
      </c>
      <c r="L218" s="93" t="s">
        <v>113</v>
      </c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>
      <c r="A219" s="72">
        <v>2024.0</v>
      </c>
      <c r="B219" s="72">
        <v>7.0</v>
      </c>
      <c r="C219" s="72">
        <v>1.0</v>
      </c>
      <c r="D219" s="72" t="s">
        <v>41</v>
      </c>
      <c r="E219" s="111">
        <v>448.94</v>
      </c>
      <c r="F219" s="72">
        <v>0.794495</v>
      </c>
      <c r="G219" s="111">
        <v>356.68</v>
      </c>
      <c r="H219" s="72" t="s">
        <v>12</v>
      </c>
      <c r="I219" s="72" t="s">
        <v>110</v>
      </c>
      <c r="J219" s="72" t="s">
        <v>111</v>
      </c>
      <c r="K219" s="72" t="s">
        <v>116</v>
      </c>
      <c r="L219" s="93" t="s">
        <v>113</v>
      </c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>
      <c r="A220" s="72">
        <v>2024.0</v>
      </c>
      <c r="B220" s="72">
        <v>7.0</v>
      </c>
      <c r="C220" s="72">
        <v>1.0</v>
      </c>
      <c r="D220" s="72" t="s">
        <v>46</v>
      </c>
      <c r="E220" s="111">
        <v>501.28</v>
      </c>
      <c r="F220" s="72">
        <v>0.718075</v>
      </c>
      <c r="G220" s="111">
        <v>359.96</v>
      </c>
      <c r="H220" s="72" t="s">
        <v>12</v>
      </c>
      <c r="I220" s="72" t="s">
        <v>110</v>
      </c>
      <c r="J220" s="72" t="s">
        <v>111</v>
      </c>
      <c r="K220" s="72" t="s">
        <v>116</v>
      </c>
      <c r="L220" s="93" t="s">
        <v>113</v>
      </c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>
      <c r="A221" s="72">
        <v>2024.0</v>
      </c>
      <c r="B221" s="72">
        <v>7.0</v>
      </c>
      <c r="C221" s="72">
        <v>2.0</v>
      </c>
      <c r="D221" s="72" t="s">
        <v>14</v>
      </c>
      <c r="E221" s="92">
        <v>11110.0</v>
      </c>
      <c r="F221" s="72">
        <v>8.0</v>
      </c>
      <c r="G221" s="92">
        <v>88880.0</v>
      </c>
      <c r="H221" s="72" t="s">
        <v>7</v>
      </c>
      <c r="I221" s="72" t="s">
        <v>110</v>
      </c>
      <c r="J221" s="72" t="s">
        <v>111</v>
      </c>
      <c r="K221" s="72" t="s">
        <v>116</v>
      </c>
      <c r="L221" s="93" t="s">
        <v>113</v>
      </c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>
      <c r="A222" s="72">
        <v>2024.0</v>
      </c>
      <c r="B222" s="72">
        <v>7.0</v>
      </c>
      <c r="C222" s="72">
        <v>12.0</v>
      </c>
      <c r="D222" s="72" t="s">
        <v>20</v>
      </c>
      <c r="E222" s="92">
        <v>11540.0</v>
      </c>
      <c r="F222" s="72">
        <v>10.0</v>
      </c>
      <c r="G222" s="92">
        <v>115400.0</v>
      </c>
      <c r="H222" s="72" t="s">
        <v>7</v>
      </c>
      <c r="I222" s="72" t="s">
        <v>110</v>
      </c>
      <c r="J222" s="72" t="s">
        <v>119</v>
      </c>
      <c r="K222" s="72" t="s">
        <v>112</v>
      </c>
      <c r="L222" s="93" t="s">
        <v>113</v>
      </c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>
      <c r="A223" s="72">
        <v>2024.0</v>
      </c>
      <c r="B223" s="72">
        <v>7.0</v>
      </c>
      <c r="C223" s="72">
        <v>12.0</v>
      </c>
      <c r="D223" s="72" t="s">
        <v>17</v>
      </c>
      <c r="E223" s="92">
        <v>19115.0</v>
      </c>
      <c r="F223" s="72">
        <v>10.0</v>
      </c>
      <c r="G223" s="92">
        <v>191150.0</v>
      </c>
      <c r="H223" s="72" t="s">
        <v>7</v>
      </c>
      <c r="I223" s="72" t="s">
        <v>110</v>
      </c>
      <c r="J223" s="72" t="s">
        <v>119</v>
      </c>
      <c r="K223" s="72" t="s">
        <v>112</v>
      </c>
      <c r="L223" s="93" t="s">
        <v>113</v>
      </c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>
      <c r="A224" s="72">
        <v>2024.0</v>
      </c>
      <c r="B224" s="72">
        <v>7.0</v>
      </c>
      <c r="C224" s="72">
        <v>12.0</v>
      </c>
      <c r="D224" s="72" t="s">
        <v>14</v>
      </c>
      <c r="E224" s="92">
        <v>11020.0</v>
      </c>
      <c r="F224" s="72">
        <v>10.0</v>
      </c>
      <c r="G224" s="92">
        <v>110200.0</v>
      </c>
      <c r="H224" s="72" t="s">
        <v>7</v>
      </c>
      <c r="I224" s="72" t="s">
        <v>110</v>
      </c>
      <c r="J224" s="72" t="s">
        <v>119</v>
      </c>
      <c r="K224" s="72" t="s">
        <v>112</v>
      </c>
      <c r="L224" s="93" t="s">
        <v>113</v>
      </c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>
      <c r="A225" s="72">
        <v>2024.0</v>
      </c>
      <c r="B225" s="72">
        <v>7.0</v>
      </c>
      <c r="C225" s="72">
        <v>12.0</v>
      </c>
      <c r="D225" s="72" t="s">
        <v>6</v>
      </c>
      <c r="E225" s="92">
        <v>20650.0</v>
      </c>
      <c r="F225" s="72">
        <v>10.0</v>
      </c>
      <c r="G225" s="92">
        <v>206500.0</v>
      </c>
      <c r="H225" s="72" t="s">
        <v>7</v>
      </c>
      <c r="I225" s="72" t="s">
        <v>110</v>
      </c>
      <c r="J225" s="72" t="s">
        <v>119</v>
      </c>
      <c r="K225" s="72" t="s">
        <v>112</v>
      </c>
      <c r="L225" s="93" t="s">
        <v>113</v>
      </c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>
      <c r="A226" s="72">
        <v>2024.0</v>
      </c>
      <c r="B226" s="72">
        <v>7.0</v>
      </c>
      <c r="C226" s="72">
        <v>12.0</v>
      </c>
      <c r="D226" s="72" t="s">
        <v>23</v>
      </c>
      <c r="E226" s="92">
        <v>21280.0</v>
      </c>
      <c r="F226" s="72">
        <v>10.0</v>
      </c>
      <c r="G226" s="92">
        <v>212800.0</v>
      </c>
      <c r="H226" s="72" t="s">
        <v>7</v>
      </c>
      <c r="I226" s="72" t="s">
        <v>110</v>
      </c>
      <c r="J226" s="72" t="s">
        <v>119</v>
      </c>
      <c r="K226" s="72" t="s">
        <v>112</v>
      </c>
      <c r="L226" s="93" t="s">
        <v>113</v>
      </c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>
      <c r="A227" s="72">
        <v>2024.0</v>
      </c>
      <c r="B227" s="72">
        <v>7.0</v>
      </c>
      <c r="C227" s="72">
        <v>19.0</v>
      </c>
      <c r="D227" s="72" t="s">
        <v>14</v>
      </c>
      <c r="E227" s="92">
        <v>11175.0</v>
      </c>
      <c r="F227" s="72">
        <v>9.0</v>
      </c>
      <c r="G227" s="92">
        <v>100575.0</v>
      </c>
      <c r="H227" s="72" t="s">
        <v>7</v>
      </c>
      <c r="I227" s="72" t="s">
        <v>110</v>
      </c>
      <c r="J227" s="72" t="s">
        <v>111</v>
      </c>
      <c r="K227" s="72" t="s">
        <v>116</v>
      </c>
      <c r="L227" s="93" t="s">
        <v>113</v>
      </c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>
      <c r="A228" s="72">
        <v>2024.0</v>
      </c>
      <c r="B228" s="72">
        <v>7.0</v>
      </c>
      <c r="C228" s="72">
        <v>23.0</v>
      </c>
      <c r="D228" s="72" t="s">
        <v>41</v>
      </c>
      <c r="E228" s="111">
        <v>438.35</v>
      </c>
      <c r="F228" s="72">
        <v>0.44198</v>
      </c>
      <c r="G228" s="111">
        <v>193.74</v>
      </c>
      <c r="H228" s="72" t="s">
        <v>12</v>
      </c>
      <c r="I228" s="72" t="s">
        <v>110</v>
      </c>
      <c r="J228" s="72" t="s">
        <v>111</v>
      </c>
      <c r="K228" s="72" t="s">
        <v>112</v>
      </c>
      <c r="L228" s="93" t="s">
        <v>113</v>
      </c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>
      <c r="A229" s="72">
        <v>2024.0</v>
      </c>
      <c r="B229" s="72">
        <v>7.0</v>
      </c>
      <c r="C229" s="72">
        <v>24.0</v>
      </c>
      <c r="D229" s="72" t="s">
        <v>43</v>
      </c>
      <c r="E229" s="111">
        <v>55.19</v>
      </c>
      <c r="F229" s="72">
        <v>2.0</v>
      </c>
      <c r="G229" s="111">
        <v>110.38</v>
      </c>
      <c r="H229" s="72" t="s">
        <v>12</v>
      </c>
      <c r="I229" s="72" t="s">
        <v>110</v>
      </c>
      <c r="J229" s="72" t="s">
        <v>111</v>
      </c>
      <c r="K229" s="72" t="s">
        <v>121</v>
      </c>
      <c r="L229" s="93" t="s">
        <v>113</v>
      </c>
      <c r="M229" s="93" t="s">
        <v>122</v>
      </c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>
      <c r="A230" s="72">
        <v>2024.0</v>
      </c>
      <c r="B230" s="72">
        <v>7.0</v>
      </c>
      <c r="C230" s="72">
        <v>25.0</v>
      </c>
      <c r="D230" s="72" t="s">
        <v>6</v>
      </c>
      <c r="E230" s="92">
        <v>18350.0</v>
      </c>
      <c r="F230" s="72">
        <v>10.0</v>
      </c>
      <c r="G230" s="92">
        <v>183500.0</v>
      </c>
      <c r="H230" s="72" t="s">
        <v>7</v>
      </c>
      <c r="I230" s="72" t="s">
        <v>110</v>
      </c>
      <c r="J230" s="72" t="s">
        <v>119</v>
      </c>
      <c r="K230" s="72" t="s">
        <v>112</v>
      </c>
      <c r="L230" s="93" t="s">
        <v>113</v>
      </c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>
      <c r="A231" s="72">
        <v>2024.0</v>
      </c>
      <c r="B231" s="72">
        <v>7.0</v>
      </c>
      <c r="C231" s="72">
        <v>31.0</v>
      </c>
      <c r="D231" s="72" t="s">
        <v>17</v>
      </c>
      <c r="E231" s="92">
        <v>18750.0</v>
      </c>
      <c r="F231" s="72">
        <v>10.0</v>
      </c>
      <c r="G231" s="92">
        <v>187500.0</v>
      </c>
      <c r="H231" s="72" t="s">
        <v>7</v>
      </c>
      <c r="I231" s="72" t="s">
        <v>110</v>
      </c>
      <c r="J231" s="72" t="s">
        <v>119</v>
      </c>
      <c r="K231" s="72" t="s">
        <v>112</v>
      </c>
      <c r="L231" s="93" t="s">
        <v>113</v>
      </c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>
      <c r="A232" s="72">
        <v>2024.0</v>
      </c>
      <c r="B232" s="72">
        <v>7.0</v>
      </c>
      <c r="C232" s="72">
        <v>31.0</v>
      </c>
      <c r="D232" s="72" t="s">
        <v>11</v>
      </c>
      <c r="E232" s="111">
        <v>246.12</v>
      </c>
      <c r="F232" s="72">
        <v>1.51126</v>
      </c>
      <c r="G232" s="111">
        <v>371.95</v>
      </c>
      <c r="H232" s="72" t="s">
        <v>12</v>
      </c>
      <c r="I232" s="72" t="s">
        <v>110</v>
      </c>
      <c r="J232" s="72" t="s">
        <v>111</v>
      </c>
      <c r="K232" s="72" t="s">
        <v>116</v>
      </c>
      <c r="L232" s="93" t="s">
        <v>113</v>
      </c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>
      <c r="A233" s="72">
        <v>2024.0</v>
      </c>
      <c r="B233" s="72">
        <v>8.0</v>
      </c>
      <c r="C233" s="72">
        <v>1.0</v>
      </c>
      <c r="D233" s="72" t="s">
        <v>46</v>
      </c>
      <c r="E233" s="111">
        <v>508.39</v>
      </c>
      <c r="F233" s="72">
        <v>0.715826</v>
      </c>
      <c r="G233" s="111">
        <v>363.92</v>
      </c>
      <c r="H233" s="72" t="s">
        <v>12</v>
      </c>
      <c r="I233" s="72" t="s">
        <v>110</v>
      </c>
      <c r="J233" s="72" t="s">
        <v>111</v>
      </c>
      <c r="K233" s="72" t="s">
        <v>116</v>
      </c>
      <c r="L233" s="93" t="s">
        <v>113</v>
      </c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>
      <c r="A234" s="72">
        <v>2024.0</v>
      </c>
      <c r="B234" s="72">
        <v>8.0</v>
      </c>
      <c r="C234" s="72">
        <v>1.0</v>
      </c>
      <c r="D234" s="72" t="s">
        <v>41</v>
      </c>
      <c r="E234" s="111">
        <v>418.13</v>
      </c>
      <c r="F234" s="72">
        <v>0.854554</v>
      </c>
      <c r="G234" s="111">
        <v>357.31</v>
      </c>
      <c r="H234" s="72" t="s">
        <v>12</v>
      </c>
      <c r="I234" s="72" t="s">
        <v>110</v>
      </c>
      <c r="J234" s="72" t="s">
        <v>111</v>
      </c>
      <c r="K234" s="72" t="s">
        <v>116</v>
      </c>
      <c r="L234" s="93" t="s">
        <v>113</v>
      </c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>
      <c r="A235" s="72">
        <v>2024.0</v>
      </c>
      <c r="B235" s="72">
        <v>8.0</v>
      </c>
      <c r="C235" s="72">
        <v>1.0</v>
      </c>
      <c r="D235" s="72" t="s">
        <v>29</v>
      </c>
      <c r="E235" s="92">
        <v>12380.0</v>
      </c>
      <c r="F235" s="72">
        <v>8.0</v>
      </c>
      <c r="G235" s="92">
        <v>99040.0</v>
      </c>
      <c r="H235" s="72" t="s">
        <v>7</v>
      </c>
      <c r="I235" s="72" t="s">
        <v>110</v>
      </c>
      <c r="J235" s="72" t="s">
        <v>119</v>
      </c>
      <c r="K235" s="72" t="s">
        <v>112</v>
      </c>
      <c r="L235" s="93" t="s">
        <v>113</v>
      </c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>
      <c r="A236" s="72">
        <v>2024.0</v>
      </c>
      <c r="B236" s="72">
        <v>8.0</v>
      </c>
      <c r="C236" s="72">
        <v>6.0</v>
      </c>
      <c r="D236" s="72" t="s">
        <v>14</v>
      </c>
      <c r="E236" s="92">
        <v>11040.0</v>
      </c>
      <c r="F236" s="72">
        <v>10.0</v>
      </c>
      <c r="G236" s="92">
        <v>110400.0</v>
      </c>
      <c r="H236" s="72" t="s">
        <v>7</v>
      </c>
      <c r="I236" s="72" t="s">
        <v>110</v>
      </c>
      <c r="J236" s="72" t="s">
        <v>119</v>
      </c>
      <c r="K236" s="72" t="s">
        <v>112</v>
      </c>
      <c r="L236" s="93" t="s">
        <v>113</v>
      </c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>
      <c r="A237" s="72">
        <v>2024.0</v>
      </c>
      <c r="B237" s="72">
        <v>8.0</v>
      </c>
      <c r="C237" s="72">
        <v>6.0</v>
      </c>
      <c r="D237" s="72" t="s">
        <v>26</v>
      </c>
      <c r="E237" s="92">
        <v>15380.0</v>
      </c>
      <c r="F237" s="72">
        <v>8.0</v>
      </c>
      <c r="G237" s="92">
        <v>123040.0</v>
      </c>
      <c r="H237" s="72" t="s">
        <v>7</v>
      </c>
      <c r="I237" s="72" t="s">
        <v>110</v>
      </c>
      <c r="J237" s="72" t="s">
        <v>119</v>
      </c>
      <c r="K237" s="72" t="s">
        <v>112</v>
      </c>
      <c r="L237" s="93" t="s">
        <v>113</v>
      </c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>
      <c r="A238" s="72">
        <v>2024.0</v>
      </c>
      <c r="B238" s="72">
        <v>8.0</v>
      </c>
      <c r="C238" s="72">
        <v>6.0</v>
      </c>
      <c r="D238" s="113" t="s">
        <v>29</v>
      </c>
      <c r="E238" s="114">
        <v>12000.0</v>
      </c>
      <c r="F238" s="113">
        <v>9.0</v>
      </c>
      <c r="G238" s="114">
        <v>108000.0</v>
      </c>
      <c r="H238" s="113" t="s">
        <v>7</v>
      </c>
      <c r="I238" s="113" t="s">
        <v>110</v>
      </c>
      <c r="J238" s="113" t="s">
        <v>119</v>
      </c>
      <c r="K238" s="113" t="s">
        <v>112</v>
      </c>
      <c r="L238" s="93" t="s">
        <v>113</v>
      </c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>
      <c r="A239" s="113">
        <v>2024.0</v>
      </c>
      <c r="B239" s="113">
        <v>8.0</v>
      </c>
      <c r="C239" s="113">
        <v>21.0</v>
      </c>
      <c r="D239" s="113" t="s">
        <v>26</v>
      </c>
      <c r="E239" s="114">
        <v>15530.0</v>
      </c>
      <c r="F239" s="113">
        <v>5.0</v>
      </c>
      <c r="G239" s="114">
        <v>77650.0</v>
      </c>
      <c r="H239" s="113" t="s">
        <v>7</v>
      </c>
      <c r="I239" s="113" t="s">
        <v>110</v>
      </c>
      <c r="J239" s="113" t="s">
        <v>119</v>
      </c>
      <c r="K239" s="113" t="s">
        <v>112</v>
      </c>
      <c r="L239" s="93" t="s">
        <v>113</v>
      </c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>
      <c r="A240" s="113">
        <v>2024.0</v>
      </c>
      <c r="B240" s="113">
        <v>8.0</v>
      </c>
      <c r="C240" s="113">
        <v>21.0</v>
      </c>
      <c r="D240" s="113" t="s">
        <v>14</v>
      </c>
      <c r="E240" s="114">
        <v>10755.0</v>
      </c>
      <c r="F240" s="113">
        <v>10.0</v>
      </c>
      <c r="G240" s="114">
        <v>107550.0</v>
      </c>
      <c r="H240" s="113" t="s">
        <v>7</v>
      </c>
      <c r="I240" s="113" t="s">
        <v>110</v>
      </c>
      <c r="J240" s="113" t="s">
        <v>119</v>
      </c>
      <c r="K240" s="113" t="s">
        <v>112</v>
      </c>
      <c r="L240" s="93" t="s">
        <v>113</v>
      </c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>
      <c r="A241" s="113">
        <v>2024.0</v>
      </c>
      <c r="B241" s="113">
        <v>8.0</v>
      </c>
      <c r="C241" s="113">
        <v>21.0</v>
      </c>
      <c r="D241" s="113" t="s">
        <v>6</v>
      </c>
      <c r="E241" s="114">
        <v>18205.0</v>
      </c>
      <c r="F241" s="113">
        <v>10.0</v>
      </c>
      <c r="G241" s="114">
        <v>182050.0</v>
      </c>
      <c r="H241" s="113" t="s">
        <v>7</v>
      </c>
      <c r="I241" s="113" t="s">
        <v>110</v>
      </c>
      <c r="J241" s="113" t="s">
        <v>119</v>
      </c>
      <c r="K241" s="113" t="s">
        <v>112</v>
      </c>
      <c r="L241" s="93" t="s">
        <v>113</v>
      </c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>
      <c r="A242" s="113">
        <v>2024.0</v>
      </c>
      <c r="B242" s="113">
        <v>8.0</v>
      </c>
      <c r="C242" s="113">
        <v>21.0</v>
      </c>
      <c r="D242" s="113" t="s">
        <v>23</v>
      </c>
      <c r="E242" s="114">
        <v>20030.0</v>
      </c>
      <c r="F242" s="113">
        <v>6.0</v>
      </c>
      <c r="G242" s="114">
        <v>120180.0</v>
      </c>
      <c r="H242" s="113" t="s">
        <v>7</v>
      </c>
      <c r="I242" s="113" t="s">
        <v>110</v>
      </c>
      <c r="J242" s="113" t="s">
        <v>119</v>
      </c>
      <c r="K242" s="113" t="s">
        <v>112</v>
      </c>
      <c r="L242" s="93" t="s">
        <v>113</v>
      </c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>
      <c r="A243" s="113">
        <v>2024.0</v>
      </c>
      <c r="B243" s="113">
        <v>8.0</v>
      </c>
      <c r="C243" s="113">
        <v>21.0</v>
      </c>
      <c r="D243" s="113" t="s">
        <v>17</v>
      </c>
      <c r="E243" s="114">
        <v>18530.0</v>
      </c>
      <c r="F243" s="113">
        <v>10.0</v>
      </c>
      <c r="G243" s="114">
        <v>185300.0</v>
      </c>
      <c r="H243" s="113" t="s">
        <v>7</v>
      </c>
      <c r="I243" s="113" t="s">
        <v>110</v>
      </c>
      <c r="J243" s="113" t="s">
        <v>119</v>
      </c>
      <c r="K243" s="113" t="s">
        <v>112</v>
      </c>
      <c r="L243" s="93" t="s">
        <v>113</v>
      </c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>
      <c r="A244" s="113">
        <v>2024.0</v>
      </c>
      <c r="B244" s="113">
        <v>8.0</v>
      </c>
      <c r="C244" s="113">
        <v>21.0</v>
      </c>
      <c r="D244" s="113" t="s">
        <v>50</v>
      </c>
      <c r="E244" s="115">
        <v>156.7</v>
      </c>
      <c r="F244" s="113">
        <v>2.348654</v>
      </c>
      <c r="G244" s="115">
        <v>368.03</v>
      </c>
      <c r="H244" s="113" t="s">
        <v>12</v>
      </c>
      <c r="I244" s="113" t="s">
        <v>110</v>
      </c>
      <c r="J244" s="113" t="s">
        <v>111</v>
      </c>
      <c r="K244" s="113" t="s">
        <v>116</v>
      </c>
      <c r="L244" s="93" t="s">
        <v>113</v>
      </c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>
      <c r="A245" s="113">
        <v>2024.0</v>
      </c>
      <c r="B245" s="113">
        <v>9.0</v>
      </c>
      <c r="C245" s="113">
        <v>3.0</v>
      </c>
      <c r="D245" s="113" t="s">
        <v>46</v>
      </c>
      <c r="E245" s="115">
        <v>515.51</v>
      </c>
      <c r="F245" s="113">
        <v>0.722463</v>
      </c>
      <c r="G245" s="115">
        <v>372.44</v>
      </c>
      <c r="H245" s="113" t="s">
        <v>12</v>
      </c>
      <c r="I245" s="113" t="s">
        <v>110</v>
      </c>
      <c r="J245" s="113" t="s">
        <v>111</v>
      </c>
      <c r="K245" s="113" t="s">
        <v>116</v>
      </c>
      <c r="L245" s="93" t="s">
        <v>113</v>
      </c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>
      <c r="A246" s="113">
        <v>2024.0</v>
      </c>
      <c r="B246" s="113">
        <v>9.0</v>
      </c>
      <c r="C246" s="113">
        <v>3.0</v>
      </c>
      <c r="D246" s="113" t="s">
        <v>11</v>
      </c>
      <c r="E246" s="115">
        <v>239.77</v>
      </c>
      <c r="F246" s="113">
        <v>1.615678</v>
      </c>
      <c r="G246" s="115">
        <v>387.39</v>
      </c>
      <c r="H246" s="113" t="s">
        <v>12</v>
      </c>
      <c r="I246" s="113" t="s">
        <v>110</v>
      </c>
      <c r="J246" s="113" t="s">
        <v>111</v>
      </c>
      <c r="K246" s="113" t="s">
        <v>116</v>
      </c>
      <c r="L246" s="93" t="s">
        <v>113</v>
      </c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>
      <c r="A247" s="113">
        <v>2024.0</v>
      </c>
      <c r="B247" s="113">
        <v>9.0</v>
      </c>
      <c r="C247" s="113">
        <v>3.0</v>
      </c>
      <c r="D247" s="113" t="s">
        <v>41</v>
      </c>
      <c r="E247" s="115">
        <v>415.99</v>
      </c>
      <c r="F247" s="113">
        <v>1.0</v>
      </c>
      <c r="G247" s="115">
        <v>415.99</v>
      </c>
      <c r="H247" s="113" t="s">
        <v>12</v>
      </c>
      <c r="I247" s="113" t="s">
        <v>110</v>
      </c>
      <c r="J247" s="113" t="s">
        <v>111</v>
      </c>
      <c r="K247" s="113" t="s">
        <v>112</v>
      </c>
      <c r="L247" s="93" t="s">
        <v>113</v>
      </c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>
      <c r="A248" s="113">
        <v>2024.0</v>
      </c>
      <c r="B248" s="113">
        <v>9.0</v>
      </c>
      <c r="C248" s="113">
        <v>3.0</v>
      </c>
      <c r="D248" s="113" t="s">
        <v>11</v>
      </c>
      <c r="E248" s="115">
        <v>232.18</v>
      </c>
      <c r="F248" s="113">
        <v>1.0</v>
      </c>
      <c r="G248" s="115">
        <v>232.18</v>
      </c>
      <c r="H248" s="113" t="s">
        <v>12</v>
      </c>
      <c r="I248" s="113" t="s">
        <v>110</v>
      </c>
      <c r="J248" s="113" t="s">
        <v>111</v>
      </c>
      <c r="K248" s="113" t="s">
        <v>112</v>
      </c>
      <c r="L248" s="93" t="s">
        <v>113</v>
      </c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>
      <c r="A249" s="113">
        <v>2024.0</v>
      </c>
      <c r="B249" s="113">
        <v>9.0</v>
      </c>
      <c r="C249" s="113">
        <v>3.0</v>
      </c>
      <c r="D249" s="113" t="s">
        <v>14</v>
      </c>
      <c r="E249" s="114">
        <v>10830.0</v>
      </c>
      <c r="F249" s="113">
        <v>10.0</v>
      </c>
      <c r="G249" s="114">
        <v>108300.0</v>
      </c>
      <c r="H249" s="113" t="s">
        <v>7</v>
      </c>
      <c r="I249" s="113" t="s">
        <v>110</v>
      </c>
      <c r="J249" s="113" t="s">
        <v>119</v>
      </c>
      <c r="K249" s="113" t="s">
        <v>112</v>
      </c>
      <c r="L249" s="93" t="s">
        <v>113</v>
      </c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>
      <c r="A250" s="113">
        <v>2024.0</v>
      </c>
      <c r="B250" s="113">
        <v>9.0</v>
      </c>
      <c r="C250" s="113">
        <v>5.0</v>
      </c>
      <c r="D250" s="113" t="s">
        <v>26</v>
      </c>
      <c r="E250" s="114">
        <v>15435.0</v>
      </c>
      <c r="F250" s="113">
        <v>7.0</v>
      </c>
      <c r="G250" s="114">
        <v>108045.0</v>
      </c>
      <c r="H250" s="113" t="s">
        <v>7</v>
      </c>
      <c r="I250" s="113" t="s">
        <v>110</v>
      </c>
      <c r="J250" s="113" t="s">
        <v>119</v>
      </c>
      <c r="K250" s="113" t="s">
        <v>112</v>
      </c>
      <c r="L250" s="93" t="s">
        <v>113</v>
      </c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>
      <c r="A251" s="113">
        <v>2024.0</v>
      </c>
      <c r="B251" s="113">
        <v>9.0</v>
      </c>
      <c r="C251" s="113">
        <v>5.0</v>
      </c>
      <c r="D251" s="113" t="s">
        <v>29</v>
      </c>
      <c r="E251" s="114">
        <v>12135.0</v>
      </c>
      <c r="F251" s="113">
        <v>10.0</v>
      </c>
      <c r="G251" s="114">
        <v>121350.0</v>
      </c>
      <c r="H251" s="113" t="s">
        <v>7</v>
      </c>
      <c r="I251" s="113" t="s">
        <v>110</v>
      </c>
      <c r="J251" s="113" t="s">
        <v>119</v>
      </c>
      <c r="K251" s="113" t="s">
        <v>112</v>
      </c>
      <c r="L251" s="93" t="s">
        <v>113</v>
      </c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>
      <c r="A252" s="113">
        <v>2024.0</v>
      </c>
      <c r="B252" s="113">
        <v>9.0</v>
      </c>
      <c r="C252" s="113">
        <v>5.0</v>
      </c>
      <c r="D252" s="113" t="s">
        <v>17</v>
      </c>
      <c r="E252" s="114">
        <v>18350.0</v>
      </c>
      <c r="F252" s="113">
        <v>6.0</v>
      </c>
      <c r="G252" s="114">
        <v>110100.0</v>
      </c>
      <c r="H252" s="113" t="s">
        <v>7</v>
      </c>
      <c r="I252" s="113" t="s">
        <v>110</v>
      </c>
      <c r="J252" s="113" t="s">
        <v>119</v>
      </c>
      <c r="K252" s="113" t="s">
        <v>112</v>
      </c>
      <c r="L252" s="93" t="s">
        <v>113</v>
      </c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>
      <c r="A253" s="113">
        <v>2024.0</v>
      </c>
      <c r="B253" s="113">
        <v>9.0</v>
      </c>
      <c r="C253" s="113">
        <v>5.0</v>
      </c>
      <c r="D253" s="113" t="s">
        <v>23</v>
      </c>
      <c r="E253" s="114">
        <v>19320.0</v>
      </c>
      <c r="F253" s="113">
        <v>6.0</v>
      </c>
      <c r="G253" s="114">
        <v>115920.0</v>
      </c>
      <c r="H253" s="113" t="s">
        <v>7</v>
      </c>
      <c r="I253" s="113" t="s">
        <v>110</v>
      </c>
      <c r="J253" s="113" t="s">
        <v>119</v>
      </c>
      <c r="K253" s="113" t="s">
        <v>112</v>
      </c>
      <c r="L253" s="93" t="s">
        <v>113</v>
      </c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>
      <c r="A254" s="113">
        <v>2024.0</v>
      </c>
      <c r="B254" s="113">
        <v>9.0</v>
      </c>
      <c r="C254" s="113">
        <v>5.0</v>
      </c>
      <c r="D254" s="113" t="s">
        <v>6</v>
      </c>
      <c r="E254" s="114">
        <v>16815.0</v>
      </c>
      <c r="F254" s="113">
        <v>6.0</v>
      </c>
      <c r="G254" s="114">
        <v>100890.0</v>
      </c>
      <c r="H254" s="113" t="s">
        <v>7</v>
      </c>
      <c r="I254" s="113" t="s">
        <v>110</v>
      </c>
      <c r="J254" s="113" t="s">
        <v>119</v>
      </c>
      <c r="K254" s="113" t="s">
        <v>112</v>
      </c>
      <c r="L254" s="93" t="s">
        <v>113</v>
      </c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>
      <c r="A255" s="113">
        <v>2024.0</v>
      </c>
      <c r="B255" s="113">
        <v>9.0</v>
      </c>
      <c r="C255" s="113">
        <v>5.0</v>
      </c>
      <c r="D255" s="113" t="s">
        <v>53</v>
      </c>
      <c r="E255" s="114">
        <v>13095.0</v>
      </c>
      <c r="F255" s="113">
        <v>26.0</v>
      </c>
      <c r="G255" s="114">
        <v>340470.0</v>
      </c>
      <c r="H255" s="113" t="s">
        <v>7</v>
      </c>
      <c r="I255" s="113" t="s">
        <v>110</v>
      </c>
      <c r="J255" s="113" t="s">
        <v>123</v>
      </c>
      <c r="K255" s="113" t="s">
        <v>112</v>
      </c>
      <c r="L255" s="93" t="s">
        <v>113</v>
      </c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>
      <c r="A256" s="113">
        <v>2024.0</v>
      </c>
      <c r="B256" s="113">
        <v>9.0</v>
      </c>
      <c r="C256" s="113">
        <v>5.0</v>
      </c>
      <c r="D256" s="113" t="s">
        <v>11</v>
      </c>
      <c r="E256" s="115">
        <v>245.45</v>
      </c>
      <c r="F256" s="113">
        <v>1.568617</v>
      </c>
      <c r="G256" s="115">
        <v>385.02</v>
      </c>
      <c r="H256" s="113" t="s">
        <v>12</v>
      </c>
      <c r="I256" s="113" t="s">
        <v>110</v>
      </c>
      <c r="J256" s="113" t="s">
        <v>111</v>
      </c>
      <c r="K256" s="113" t="s">
        <v>116</v>
      </c>
      <c r="L256" s="93" t="s">
        <v>113</v>
      </c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>
      <c r="A257" s="116">
        <v>2024.0</v>
      </c>
      <c r="B257" s="116">
        <v>9.0</v>
      </c>
      <c r="C257" s="116">
        <v>5.0</v>
      </c>
      <c r="D257" s="113" t="s">
        <v>46</v>
      </c>
      <c r="E257" s="115">
        <v>527.15</v>
      </c>
      <c r="F257" s="113">
        <v>0.720917</v>
      </c>
      <c r="G257" s="115">
        <v>380.03</v>
      </c>
      <c r="H257" s="113" t="s">
        <v>12</v>
      </c>
      <c r="I257" s="113" t="s">
        <v>110</v>
      </c>
      <c r="J257" s="113" t="s">
        <v>111</v>
      </c>
      <c r="K257" s="113" t="s">
        <v>116</v>
      </c>
      <c r="L257" s="93" t="s">
        <v>113</v>
      </c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>
      <c r="A258" s="72">
        <v>2024.0</v>
      </c>
      <c r="B258" s="72">
        <v>9.0</v>
      </c>
      <c r="C258" s="72">
        <v>6.0</v>
      </c>
      <c r="D258" s="113" t="s">
        <v>50</v>
      </c>
      <c r="E258" s="115">
        <v>153.92</v>
      </c>
      <c r="F258" s="113">
        <v>2.451558</v>
      </c>
      <c r="G258" s="115">
        <v>377.34</v>
      </c>
      <c r="H258" s="113" t="s">
        <v>12</v>
      </c>
      <c r="I258" s="113" t="s">
        <v>110</v>
      </c>
      <c r="J258" s="113" t="s">
        <v>111</v>
      </c>
      <c r="K258" s="113" t="s">
        <v>116</v>
      </c>
      <c r="L258" s="93" t="s">
        <v>113</v>
      </c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>
      <c r="A259" s="72">
        <v>2024.0</v>
      </c>
      <c r="B259" s="72">
        <v>9.0</v>
      </c>
      <c r="C259" s="72">
        <v>9.0</v>
      </c>
      <c r="D259" s="113" t="s">
        <v>50</v>
      </c>
      <c r="E259" s="115">
        <v>153.45</v>
      </c>
      <c r="F259" s="113">
        <v>0.374905</v>
      </c>
      <c r="G259" s="115">
        <v>57.53</v>
      </c>
      <c r="H259" s="113" t="s">
        <v>12</v>
      </c>
      <c r="I259" s="113" t="s">
        <v>110</v>
      </c>
      <c r="J259" s="113" t="s">
        <v>111</v>
      </c>
      <c r="K259" s="113" t="s">
        <v>116</v>
      </c>
      <c r="L259" s="93" t="s">
        <v>113</v>
      </c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>
      <c r="A260" s="113">
        <v>2024.0</v>
      </c>
      <c r="B260" s="113">
        <v>10.0</v>
      </c>
      <c r="C260" s="113">
        <v>1.0</v>
      </c>
      <c r="D260" s="113" t="s">
        <v>29</v>
      </c>
      <c r="E260" s="114">
        <v>12060.0</v>
      </c>
      <c r="F260" s="113">
        <v>10.0</v>
      </c>
      <c r="G260" s="114">
        <v>120600.0</v>
      </c>
      <c r="H260" s="113" t="s">
        <v>7</v>
      </c>
      <c r="I260" s="113" t="s">
        <v>110</v>
      </c>
      <c r="J260" s="113" t="s">
        <v>119</v>
      </c>
      <c r="K260" s="113" t="s">
        <v>112</v>
      </c>
      <c r="L260" s="93" t="s">
        <v>113</v>
      </c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>
      <c r="A261" s="113">
        <v>2024.0</v>
      </c>
      <c r="B261" s="113">
        <v>10.0</v>
      </c>
      <c r="C261" s="113">
        <v>1.0</v>
      </c>
      <c r="D261" s="113" t="s">
        <v>14</v>
      </c>
      <c r="E261" s="114">
        <v>10830.0</v>
      </c>
      <c r="F261" s="113">
        <v>20.0</v>
      </c>
      <c r="G261" s="114">
        <v>216600.0</v>
      </c>
      <c r="H261" s="113" t="s">
        <v>7</v>
      </c>
      <c r="I261" s="113" t="s">
        <v>110</v>
      </c>
      <c r="J261" s="113" t="s">
        <v>119</v>
      </c>
      <c r="K261" s="113" t="s">
        <v>112</v>
      </c>
      <c r="L261" s="93" t="s">
        <v>113</v>
      </c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>
      <c r="A262" s="113">
        <v>2024.0</v>
      </c>
      <c r="B262" s="113">
        <v>10.0</v>
      </c>
      <c r="C262" s="113">
        <v>1.0</v>
      </c>
      <c r="D262" s="113" t="s">
        <v>6</v>
      </c>
      <c r="E262" s="114">
        <v>18000.0</v>
      </c>
      <c r="F262" s="113">
        <v>10.0</v>
      </c>
      <c r="G262" s="114">
        <v>180000.0</v>
      </c>
      <c r="H262" s="113" t="s">
        <v>7</v>
      </c>
      <c r="I262" s="113" t="s">
        <v>110</v>
      </c>
      <c r="J262" s="113" t="s">
        <v>119</v>
      </c>
      <c r="K262" s="113" t="s">
        <v>112</v>
      </c>
      <c r="L262" s="93" t="s">
        <v>113</v>
      </c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>
      <c r="A263" s="113">
        <v>2024.0</v>
      </c>
      <c r="B263" s="113">
        <v>10.0</v>
      </c>
      <c r="C263" s="113">
        <v>1.0</v>
      </c>
      <c r="D263" s="113" t="s">
        <v>17</v>
      </c>
      <c r="E263" s="114">
        <v>18930.0</v>
      </c>
      <c r="F263" s="113">
        <v>10.0</v>
      </c>
      <c r="G263" s="114">
        <v>189300.0</v>
      </c>
      <c r="H263" s="113" t="s">
        <v>7</v>
      </c>
      <c r="I263" s="113" t="s">
        <v>110</v>
      </c>
      <c r="J263" s="113" t="s">
        <v>119</v>
      </c>
      <c r="K263" s="113" t="s">
        <v>112</v>
      </c>
      <c r="L263" s="93" t="s">
        <v>113</v>
      </c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>
      <c r="A264" s="113">
        <v>2024.0</v>
      </c>
      <c r="B264" s="113">
        <v>10.0</v>
      </c>
      <c r="C264" s="113">
        <v>2.0</v>
      </c>
      <c r="D264" s="113" t="s">
        <v>23</v>
      </c>
      <c r="E264" s="114">
        <v>20160.0</v>
      </c>
      <c r="F264" s="113">
        <v>10.0</v>
      </c>
      <c r="G264" s="114">
        <v>201600.0</v>
      </c>
      <c r="H264" s="113" t="s">
        <v>7</v>
      </c>
      <c r="I264" s="113" t="s">
        <v>110</v>
      </c>
      <c r="J264" s="113" t="s">
        <v>119</v>
      </c>
      <c r="K264" s="113" t="s">
        <v>112</v>
      </c>
      <c r="L264" s="93" t="s">
        <v>113</v>
      </c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>
      <c r="A265" s="113">
        <v>2024.0</v>
      </c>
      <c r="B265" s="113">
        <v>10.0</v>
      </c>
      <c r="C265" s="113">
        <v>2.0</v>
      </c>
      <c r="D265" s="113" t="s">
        <v>20</v>
      </c>
      <c r="E265" s="114">
        <v>11960.0</v>
      </c>
      <c r="F265" s="113">
        <v>10.0</v>
      </c>
      <c r="G265" s="114">
        <v>119600.0</v>
      </c>
      <c r="H265" s="113" t="s">
        <v>7</v>
      </c>
      <c r="I265" s="113" t="s">
        <v>110</v>
      </c>
      <c r="J265" s="113" t="s">
        <v>119</v>
      </c>
      <c r="K265" s="113" t="s">
        <v>112</v>
      </c>
      <c r="L265" s="93" t="s">
        <v>113</v>
      </c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>
      <c r="A266" s="113">
        <v>2024.0</v>
      </c>
      <c r="B266" s="113">
        <v>10.0</v>
      </c>
      <c r="C266" s="113">
        <v>2.0</v>
      </c>
      <c r="D266" s="113" t="s">
        <v>43</v>
      </c>
      <c r="E266" s="115">
        <v>61.84</v>
      </c>
      <c r="F266" s="113">
        <v>0.77564</v>
      </c>
      <c r="G266" s="115">
        <v>47.96</v>
      </c>
      <c r="H266" s="113" t="s">
        <v>12</v>
      </c>
      <c r="I266" s="113" t="s">
        <v>110</v>
      </c>
      <c r="J266" s="113" t="s">
        <v>111</v>
      </c>
      <c r="K266" s="113" t="s">
        <v>121</v>
      </c>
      <c r="L266" s="93" t="s">
        <v>113</v>
      </c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>
      <c r="A267" s="113">
        <v>2024.0</v>
      </c>
      <c r="B267" s="113">
        <v>10.0</v>
      </c>
      <c r="C267" s="113">
        <v>2.0</v>
      </c>
      <c r="D267" s="113" t="s">
        <v>53</v>
      </c>
      <c r="E267" s="114">
        <v>13535.0</v>
      </c>
      <c r="F267" s="113">
        <v>1.0</v>
      </c>
      <c r="G267" s="114">
        <v>13535.0</v>
      </c>
      <c r="H267" s="113" t="s">
        <v>7</v>
      </c>
      <c r="I267" s="113" t="s">
        <v>110</v>
      </c>
      <c r="J267" s="113" t="s">
        <v>123</v>
      </c>
      <c r="K267" s="113" t="s">
        <v>112</v>
      </c>
      <c r="L267" s="93" t="s">
        <v>113</v>
      </c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>
      <c r="A268" s="113">
        <v>2024.0</v>
      </c>
      <c r="B268" s="113">
        <v>10.0</v>
      </c>
      <c r="C268" s="113">
        <v>2.0</v>
      </c>
      <c r="D268" s="113" t="s">
        <v>11</v>
      </c>
      <c r="E268" s="115">
        <v>244.4</v>
      </c>
      <c r="F268" s="113">
        <v>0.876599</v>
      </c>
      <c r="G268" s="115">
        <v>214.24</v>
      </c>
      <c r="H268" s="113" t="s">
        <v>12</v>
      </c>
      <c r="I268" s="113" t="s">
        <v>110</v>
      </c>
      <c r="J268" s="113" t="s">
        <v>111</v>
      </c>
      <c r="K268" s="113" t="s">
        <v>116</v>
      </c>
      <c r="L268" s="93" t="s">
        <v>113</v>
      </c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>
      <c r="A269" s="113">
        <v>2024.0</v>
      </c>
      <c r="B269" s="113">
        <v>10.0</v>
      </c>
      <c r="C269" s="113">
        <v>2.0</v>
      </c>
      <c r="D269" s="113" t="s">
        <v>46</v>
      </c>
      <c r="E269" s="115">
        <v>525.16</v>
      </c>
      <c r="F269" s="113">
        <v>0.408914</v>
      </c>
      <c r="G269" s="115">
        <v>214.75</v>
      </c>
      <c r="H269" s="113" t="s">
        <v>12</v>
      </c>
      <c r="I269" s="113" t="s">
        <v>110</v>
      </c>
      <c r="J269" s="113" t="s">
        <v>111</v>
      </c>
      <c r="K269" s="113" t="s">
        <v>116</v>
      </c>
      <c r="L269" s="93" t="s">
        <v>113</v>
      </c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>
      <c r="A270" s="113">
        <v>2024.0</v>
      </c>
      <c r="B270" s="113">
        <v>10.0</v>
      </c>
      <c r="C270" s="113">
        <v>3.0</v>
      </c>
      <c r="D270" s="72" t="s">
        <v>50</v>
      </c>
      <c r="E270" s="111">
        <v>147.53</v>
      </c>
      <c r="F270" s="72">
        <v>1.45875</v>
      </c>
      <c r="G270" s="111">
        <v>215.21</v>
      </c>
      <c r="H270" s="72" t="s">
        <v>12</v>
      </c>
      <c r="I270" s="72" t="s">
        <v>110</v>
      </c>
      <c r="J270" s="72" t="s">
        <v>111</v>
      </c>
      <c r="K270" s="72" t="s">
        <v>116</v>
      </c>
      <c r="L270" s="93" t="s">
        <v>113</v>
      </c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>
      <c r="A271" s="113">
        <v>2024.0</v>
      </c>
      <c r="B271" s="113">
        <v>10.0</v>
      </c>
      <c r="C271" s="113">
        <v>3.0</v>
      </c>
      <c r="D271" s="72" t="s">
        <v>50</v>
      </c>
      <c r="E271" s="111">
        <v>152.72</v>
      </c>
      <c r="F271" s="72">
        <v>0.038368</v>
      </c>
      <c r="G271" s="111">
        <v>5.86</v>
      </c>
      <c r="H271" s="72" t="s">
        <v>12</v>
      </c>
      <c r="I271" s="72" t="s">
        <v>110</v>
      </c>
      <c r="J271" s="72" t="s">
        <v>111</v>
      </c>
      <c r="K271" s="72" t="s">
        <v>116</v>
      </c>
      <c r="L271" s="93" t="s">
        <v>113</v>
      </c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>
      <c r="A272" s="117">
        <v>2024.0</v>
      </c>
      <c r="B272" s="117">
        <v>10.0</v>
      </c>
      <c r="C272" s="117">
        <v>4.0</v>
      </c>
      <c r="D272" s="72" t="s">
        <v>37</v>
      </c>
      <c r="E272" s="92">
        <v>58600.0</v>
      </c>
      <c r="F272" s="72">
        <v>35.0</v>
      </c>
      <c r="G272" s="92">
        <v>2051000.0</v>
      </c>
      <c r="H272" s="72" t="s">
        <v>7</v>
      </c>
      <c r="I272" s="72" t="s">
        <v>120</v>
      </c>
      <c r="J272" s="72" t="s">
        <v>111</v>
      </c>
      <c r="K272" s="72" t="s">
        <v>112</v>
      </c>
      <c r="L272" s="93" t="s">
        <v>113</v>
      </c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>
      <c r="A273" s="72">
        <v>2024.0</v>
      </c>
      <c r="B273" s="72">
        <v>10.0</v>
      </c>
      <c r="C273" s="72">
        <v>16.0</v>
      </c>
      <c r="D273" s="117" t="s">
        <v>41</v>
      </c>
      <c r="E273" s="118">
        <v>417.5</v>
      </c>
      <c r="F273" s="117">
        <v>0.183977</v>
      </c>
      <c r="G273" s="118">
        <v>76.81</v>
      </c>
      <c r="H273" s="117" t="s">
        <v>12</v>
      </c>
      <c r="I273" s="117" t="s">
        <v>110</v>
      </c>
      <c r="J273" s="117" t="s">
        <v>111</v>
      </c>
      <c r="K273" s="117" t="s">
        <v>112</v>
      </c>
      <c r="L273" s="119" t="s">
        <v>113</v>
      </c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>
      <c r="A274" s="72">
        <v>2024.0</v>
      </c>
      <c r="B274" s="72">
        <v>10.0</v>
      </c>
      <c r="C274" s="72">
        <v>17.0</v>
      </c>
      <c r="D274" s="72" t="s">
        <v>41</v>
      </c>
      <c r="E274" s="111">
        <v>417.38</v>
      </c>
      <c r="F274" s="72">
        <v>0.140137</v>
      </c>
      <c r="G274" s="111">
        <v>58.49</v>
      </c>
      <c r="H274" s="72" t="s">
        <v>12</v>
      </c>
      <c r="I274" s="72" t="s">
        <v>110</v>
      </c>
      <c r="J274" s="72" t="s">
        <v>111</v>
      </c>
      <c r="K274" s="72" t="s">
        <v>112</v>
      </c>
      <c r="L274" s="93" t="s">
        <v>113</v>
      </c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>
      <c r="A275" s="72">
        <v>2024.0</v>
      </c>
      <c r="B275" s="72">
        <v>10.0</v>
      </c>
      <c r="C275" s="72">
        <v>23.0</v>
      </c>
      <c r="D275" s="72" t="s">
        <v>20</v>
      </c>
      <c r="E275" s="92">
        <v>12840.0</v>
      </c>
      <c r="F275" s="72">
        <v>15.0</v>
      </c>
      <c r="G275" s="92">
        <v>192600.0</v>
      </c>
      <c r="H275" s="72" t="s">
        <v>7</v>
      </c>
      <c r="I275" s="72" t="s">
        <v>110</v>
      </c>
      <c r="J275" s="72" t="s">
        <v>119</v>
      </c>
      <c r="K275" s="72" t="s">
        <v>112</v>
      </c>
      <c r="L275" s="93" t="s">
        <v>113</v>
      </c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>
      <c r="A276" s="113">
        <v>2024.0</v>
      </c>
      <c r="B276" s="113">
        <v>11.0</v>
      </c>
      <c r="C276" s="113">
        <v>1.0</v>
      </c>
      <c r="D276" s="72" t="s">
        <v>29</v>
      </c>
      <c r="E276" s="92">
        <v>12235.0</v>
      </c>
      <c r="F276" s="72">
        <v>10.0</v>
      </c>
      <c r="G276" s="92">
        <v>122350.0</v>
      </c>
      <c r="H276" s="72" t="s">
        <v>7</v>
      </c>
      <c r="I276" s="72" t="s">
        <v>110</v>
      </c>
      <c r="J276" s="72" t="s">
        <v>119</v>
      </c>
      <c r="K276" s="72" t="s">
        <v>112</v>
      </c>
      <c r="L276" s="93" t="s">
        <v>113</v>
      </c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>
      <c r="A277" s="113">
        <v>2024.0</v>
      </c>
      <c r="B277" s="113">
        <v>11.0</v>
      </c>
      <c r="C277" s="113">
        <v>1.0</v>
      </c>
      <c r="D277" s="72" t="s">
        <v>26</v>
      </c>
      <c r="E277" s="92">
        <v>17255.0</v>
      </c>
      <c r="F277" s="72">
        <v>8.0</v>
      </c>
      <c r="G277" s="92">
        <v>138040.0</v>
      </c>
      <c r="H277" s="72" t="s">
        <v>7</v>
      </c>
      <c r="I277" s="72" t="s">
        <v>110</v>
      </c>
      <c r="J277" s="72" t="s">
        <v>119</v>
      </c>
      <c r="K277" s="72" t="s">
        <v>112</v>
      </c>
      <c r="L277" s="93" t="s">
        <v>113</v>
      </c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>
      <c r="A278" s="72">
        <v>2024.0</v>
      </c>
      <c r="B278" s="72">
        <v>11.0</v>
      </c>
      <c r="C278" s="72">
        <v>1.0</v>
      </c>
      <c r="D278" s="72" t="s">
        <v>6</v>
      </c>
      <c r="E278" s="92">
        <v>18000.0</v>
      </c>
      <c r="F278" s="72">
        <v>10.0</v>
      </c>
      <c r="G278" s="92">
        <v>180000.0</v>
      </c>
      <c r="H278" s="72" t="s">
        <v>7</v>
      </c>
      <c r="I278" s="72" t="s">
        <v>110</v>
      </c>
      <c r="J278" s="72" t="s">
        <v>119</v>
      </c>
      <c r="K278" s="72" t="s">
        <v>112</v>
      </c>
      <c r="L278" s="93" t="s">
        <v>113</v>
      </c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>
      <c r="A279" s="72">
        <v>2024.0</v>
      </c>
      <c r="B279" s="72">
        <v>11.0</v>
      </c>
      <c r="C279" s="72">
        <v>21.0</v>
      </c>
      <c r="D279" s="72" t="s">
        <v>17</v>
      </c>
      <c r="E279" s="92">
        <v>20650.0</v>
      </c>
      <c r="F279" s="72">
        <v>10.0</v>
      </c>
      <c r="G279" s="92">
        <v>206500.0</v>
      </c>
      <c r="H279" s="72" t="s">
        <v>7</v>
      </c>
      <c r="I279" s="72" t="s">
        <v>110</v>
      </c>
      <c r="J279" s="72" t="s">
        <v>119</v>
      </c>
      <c r="K279" s="72" t="s">
        <v>112</v>
      </c>
      <c r="L279" s="93" t="s">
        <v>113</v>
      </c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>
      <c r="A280" s="72">
        <v>2024.0</v>
      </c>
      <c r="B280" s="72">
        <v>11.0</v>
      </c>
      <c r="C280" s="72">
        <v>21.0</v>
      </c>
      <c r="D280" s="72" t="s">
        <v>23</v>
      </c>
      <c r="E280" s="92">
        <v>22100.0</v>
      </c>
      <c r="F280" s="72">
        <v>10.0</v>
      </c>
      <c r="G280" s="92">
        <v>221000.0</v>
      </c>
      <c r="H280" s="72" t="s">
        <v>7</v>
      </c>
      <c r="I280" s="72" t="s">
        <v>110</v>
      </c>
      <c r="J280" s="72" t="s">
        <v>119</v>
      </c>
      <c r="K280" s="72" t="s">
        <v>112</v>
      </c>
      <c r="L280" s="93" t="s">
        <v>113</v>
      </c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>
      <c r="A281" s="72">
        <v>2024.0</v>
      </c>
      <c r="B281" s="72">
        <v>11.0</v>
      </c>
      <c r="C281" s="72">
        <v>21.0</v>
      </c>
      <c r="D281" s="72" t="s">
        <v>14</v>
      </c>
      <c r="E281" s="92">
        <v>11450.0</v>
      </c>
      <c r="F281" s="72">
        <v>10.0</v>
      </c>
      <c r="G281" s="92">
        <v>114500.0</v>
      </c>
      <c r="H281" s="72" t="s">
        <v>7</v>
      </c>
      <c r="I281" s="72" t="s">
        <v>110</v>
      </c>
      <c r="J281" s="72" t="s">
        <v>119</v>
      </c>
      <c r="K281" s="72" t="s">
        <v>112</v>
      </c>
      <c r="L281" s="93" t="s">
        <v>113</v>
      </c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>
      <c r="A282" s="72">
        <v>2024.0</v>
      </c>
      <c r="B282" s="72">
        <v>11.0</v>
      </c>
      <c r="C282" s="72">
        <v>21.0</v>
      </c>
      <c r="D282" s="72" t="s">
        <v>53</v>
      </c>
      <c r="E282" s="92">
        <v>13925.0</v>
      </c>
      <c r="F282" s="72">
        <v>1.0</v>
      </c>
      <c r="G282" s="92">
        <v>13925.0</v>
      </c>
      <c r="H282" s="72" t="s">
        <v>7</v>
      </c>
      <c r="I282" s="72" t="s">
        <v>110</v>
      </c>
      <c r="J282" s="72" t="s">
        <v>123</v>
      </c>
      <c r="K282" s="72" t="s">
        <v>112</v>
      </c>
      <c r="L282" s="93" t="s">
        <v>113</v>
      </c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>
      <c r="A283" s="72">
        <v>2024.0</v>
      </c>
      <c r="B283" s="72">
        <v>11.0</v>
      </c>
      <c r="C283" s="72">
        <v>21.0</v>
      </c>
      <c r="D283" s="72" t="s">
        <v>41</v>
      </c>
      <c r="E283" s="111">
        <v>414.71</v>
      </c>
      <c r="F283" s="72">
        <v>0.053909</v>
      </c>
      <c r="G283" s="111">
        <v>22.36</v>
      </c>
      <c r="H283" s="72" t="s">
        <v>12</v>
      </c>
      <c r="I283" s="72" t="s">
        <v>110</v>
      </c>
      <c r="J283" s="72" t="s">
        <v>111</v>
      </c>
      <c r="K283" s="72" t="s">
        <v>112</v>
      </c>
      <c r="L283" s="93" t="s">
        <v>113</v>
      </c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>
      <c r="A284" s="72">
        <v>2024.0</v>
      </c>
      <c r="B284" s="72">
        <v>11.0</v>
      </c>
      <c r="C284" s="72">
        <v>21.0</v>
      </c>
      <c r="D284" s="72" t="s">
        <v>11</v>
      </c>
      <c r="E284" s="111">
        <v>242.53</v>
      </c>
      <c r="F284" s="72">
        <v>0.863209</v>
      </c>
      <c r="G284" s="111">
        <v>209.35</v>
      </c>
      <c r="H284" s="72" t="s">
        <v>12</v>
      </c>
      <c r="I284" s="72" t="s">
        <v>110</v>
      </c>
      <c r="J284" s="72" t="s">
        <v>111</v>
      </c>
      <c r="K284" s="72" t="s">
        <v>116</v>
      </c>
      <c r="L284" s="93" t="s">
        <v>113</v>
      </c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>
      <c r="A285" s="72">
        <v>2024.0</v>
      </c>
      <c r="B285" s="72">
        <v>11.0</v>
      </c>
      <c r="C285" s="72">
        <v>21.0</v>
      </c>
      <c r="D285" s="72" t="s">
        <v>46</v>
      </c>
      <c r="E285" s="111">
        <v>553.28</v>
      </c>
      <c r="F285" s="72">
        <v>0.382445</v>
      </c>
      <c r="G285" s="111">
        <v>211.6</v>
      </c>
      <c r="H285" s="72" t="s">
        <v>12</v>
      </c>
      <c r="I285" s="72" t="s">
        <v>110</v>
      </c>
      <c r="J285" s="72" t="s">
        <v>111</v>
      </c>
      <c r="K285" s="72" t="s">
        <v>116</v>
      </c>
      <c r="L285" s="93" t="s">
        <v>113</v>
      </c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>
      <c r="A286" s="72">
        <v>2024.0</v>
      </c>
      <c r="B286" s="72">
        <v>11.0</v>
      </c>
      <c r="C286" s="72">
        <v>21.0</v>
      </c>
      <c r="D286" s="72" t="s">
        <v>50</v>
      </c>
      <c r="E286" s="111">
        <v>147.51</v>
      </c>
      <c r="F286" s="72">
        <v>1.444796</v>
      </c>
      <c r="G286" s="111">
        <v>213.12</v>
      </c>
      <c r="H286" s="72" t="s">
        <v>12</v>
      </c>
      <c r="I286" s="72" t="s">
        <v>110</v>
      </c>
      <c r="J286" s="72" t="s">
        <v>111</v>
      </c>
      <c r="K286" s="72" t="s">
        <v>116</v>
      </c>
      <c r="L286" s="93" t="s">
        <v>113</v>
      </c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>
      <c r="A287" s="72">
        <v>2024.0</v>
      </c>
      <c r="B287" s="72">
        <v>11.0</v>
      </c>
      <c r="C287" s="72">
        <v>21.0</v>
      </c>
      <c r="D287" s="72" t="s">
        <v>43</v>
      </c>
      <c r="E287" s="111">
        <v>56.4</v>
      </c>
      <c r="F287" s="72">
        <v>0.110443</v>
      </c>
      <c r="G287" s="111">
        <v>6.23</v>
      </c>
      <c r="H287" s="72" t="s">
        <v>12</v>
      </c>
      <c r="I287" s="72" t="s">
        <v>110</v>
      </c>
      <c r="J287" s="72" t="s">
        <v>111</v>
      </c>
      <c r="K287" s="72" t="s">
        <v>116</v>
      </c>
      <c r="L287" s="93" t="s">
        <v>113</v>
      </c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>
      <c r="A288" s="72">
        <v>2024.0</v>
      </c>
      <c r="B288" s="72">
        <v>11.0</v>
      </c>
      <c r="C288" s="72">
        <v>21.0</v>
      </c>
      <c r="D288" s="72" t="s">
        <v>43</v>
      </c>
      <c r="E288" s="111">
        <v>56.35</v>
      </c>
      <c r="F288" s="72">
        <v>0.16904</v>
      </c>
      <c r="G288" s="111">
        <v>9.53</v>
      </c>
      <c r="H288" s="72" t="s">
        <v>12</v>
      </c>
      <c r="I288" s="72" t="s">
        <v>110</v>
      </c>
      <c r="J288" s="72" t="s">
        <v>111</v>
      </c>
      <c r="K288" s="72" t="s">
        <v>121</v>
      </c>
      <c r="L288" s="93" t="s">
        <v>113</v>
      </c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>
      <c r="A289" s="72">
        <v>2024.0</v>
      </c>
      <c r="B289" s="72">
        <v>12.0</v>
      </c>
      <c r="C289" s="72">
        <v>2.0</v>
      </c>
      <c r="D289" s="72" t="s">
        <v>53</v>
      </c>
      <c r="E289" s="92">
        <v>14520.0</v>
      </c>
      <c r="F289" s="72">
        <v>1.0</v>
      </c>
      <c r="G289" s="92">
        <v>14520.0</v>
      </c>
      <c r="H289" s="72" t="s">
        <v>7</v>
      </c>
      <c r="I289" s="72" t="s">
        <v>110</v>
      </c>
      <c r="J289" s="72" t="s">
        <v>123</v>
      </c>
      <c r="K289" s="72" t="s">
        <v>112</v>
      </c>
      <c r="L289" s="93" t="s">
        <v>113</v>
      </c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>
      <c r="A290" s="72">
        <v>2024.0</v>
      </c>
      <c r="B290" s="72">
        <v>12.0</v>
      </c>
      <c r="C290" s="72">
        <v>2.0</v>
      </c>
      <c r="D290" s="72" t="s">
        <v>41</v>
      </c>
      <c r="E290" s="111">
        <v>408.74</v>
      </c>
      <c r="F290" s="72">
        <v>0.285055</v>
      </c>
      <c r="G290" s="111">
        <v>116.51</v>
      </c>
      <c r="H290" s="72" t="s">
        <v>12</v>
      </c>
      <c r="I290" s="72" t="s">
        <v>110</v>
      </c>
      <c r="J290" s="72" t="s">
        <v>111</v>
      </c>
      <c r="K290" s="72" t="s">
        <v>112</v>
      </c>
      <c r="L290" s="93" t="s">
        <v>113</v>
      </c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>
      <c r="A291" s="72">
        <v>2024.0</v>
      </c>
      <c r="B291" s="72">
        <v>12.0</v>
      </c>
      <c r="C291" s="72">
        <v>2.0</v>
      </c>
      <c r="D291" s="72" t="s">
        <v>41</v>
      </c>
      <c r="E291" s="111">
        <v>418.99</v>
      </c>
      <c r="F291" s="72">
        <v>0.016348</v>
      </c>
      <c r="G291" s="111">
        <v>6.85</v>
      </c>
      <c r="H291" s="72" t="s">
        <v>12</v>
      </c>
      <c r="I291" s="72" t="s">
        <v>110</v>
      </c>
      <c r="J291" s="72" t="s">
        <v>111</v>
      </c>
      <c r="K291" s="72" t="s">
        <v>116</v>
      </c>
      <c r="L291" s="93" t="s">
        <v>113</v>
      </c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>
      <c r="A292" s="72">
        <v>2024.0</v>
      </c>
      <c r="B292" s="72">
        <v>12.0</v>
      </c>
      <c r="C292" s="72">
        <v>9.0</v>
      </c>
      <c r="D292" s="72" t="s">
        <v>6</v>
      </c>
      <c r="E292" s="92">
        <v>18875.0</v>
      </c>
      <c r="F292" s="72">
        <v>8.0</v>
      </c>
      <c r="G292" s="92">
        <v>151000.0</v>
      </c>
      <c r="H292" s="72" t="s">
        <v>7</v>
      </c>
      <c r="I292" s="72" t="s">
        <v>110</v>
      </c>
      <c r="J292" s="72" t="s">
        <v>119</v>
      </c>
      <c r="K292" s="72" t="s">
        <v>112</v>
      </c>
      <c r="L292" s="93" t="s">
        <v>113</v>
      </c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>
      <c r="A293" s="72">
        <v>2024.0</v>
      </c>
      <c r="B293" s="72">
        <v>12.0</v>
      </c>
      <c r="C293" s="72">
        <v>17.0</v>
      </c>
      <c r="D293" s="72" t="s">
        <v>23</v>
      </c>
      <c r="E293" s="92">
        <v>23530.0</v>
      </c>
      <c r="F293" s="72">
        <v>8.0</v>
      </c>
      <c r="G293" s="92">
        <v>188240.0</v>
      </c>
      <c r="H293" s="72" t="s">
        <v>7</v>
      </c>
      <c r="I293" s="72" t="s">
        <v>110</v>
      </c>
      <c r="J293" s="72" t="s">
        <v>119</v>
      </c>
      <c r="K293" s="72" t="s">
        <v>112</v>
      </c>
      <c r="L293" s="93" t="s">
        <v>113</v>
      </c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>
      <c r="A294" s="72">
        <v>2024.0</v>
      </c>
      <c r="B294" s="72">
        <v>12.0</v>
      </c>
      <c r="C294" s="72">
        <v>19.0</v>
      </c>
      <c r="D294" s="72" t="s">
        <v>17</v>
      </c>
      <c r="E294" s="92">
        <v>21205.0</v>
      </c>
      <c r="F294" s="72">
        <v>8.0</v>
      </c>
      <c r="G294" s="92">
        <v>169640.0</v>
      </c>
      <c r="H294" s="72" t="s">
        <v>7</v>
      </c>
      <c r="I294" s="72" t="s">
        <v>110</v>
      </c>
      <c r="J294" s="72" t="s">
        <v>119</v>
      </c>
      <c r="K294" s="72" t="s">
        <v>112</v>
      </c>
      <c r="L294" s="93" t="s">
        <v>113</v>
      </c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>
      <c r="A295" s="72">
        <v>2024.0</v>
      </c>
      <c r="B295" s="72">
        <v>12.0</v>
      </c>
      <c r="C295" s="72">
        <v>19.0</v>
      </c>
      <c r="D295" s="72" t="s">
        <v>26</v>
      </c>
      <c r="E295" s="92">
        <v>17035.0</v>
      </c>
      <c r="F295" s="72">
        <v>10.0</v>
      </c>
      <c r="G295" s="92">
        <v>170350.0</v>
      </c>
      <c r="H295" s="72" t="s">
        <v>7</v>
      </c>
      <c r="I295" s="72" t="s">
        <v>110</v>
      </c>
      <c r="J295" s="72" t="s">
        <v>119</v>
      </c>
      <c r="K295" s="72" t="s">
        <v>112</v>
      </c>
      <c r="L295" s="93" t="s">
        <v>113</v>
      </c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>
      <c r="A296" s="72">
        <v>2024.0</v>
      </c>
      <c r="B296" s="72">
        <v>12.0</v>
      </c>
      <c r="C296" s="72">
        <v>19.0</v>
      </c>
      <c r="D296" s="72" t="s">
        <v>14</v>
      </c>
      <c r="E296" s="92">
        <v>11920.0</v>
      </c>
      <c r="F296" s="72">
        <v>10.0</v>
      </c>
      <c r="G296" s="92">
        <v>119200.0</v>
      </c>
      <c r="H296" s="72" t="s">
        <v>7</v>
      </c>
      <c r="I296" s="72" t="s">
        <v>110</v>
      </c>
      <c r="J296" s="72" t="s">
        <v>119</v>
      </c>
      <c r="K296" s="72" t="s">
        <v>112</v>
      </c>
      <c r="L296" s="93" t="s">
        <v>113</v>
      </c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>
      <c r="A297" s="72">
        <v>2024.0</v>
      </c>
      <c r="B297" s="72">
        <v>12.0</v>
      </c>
      <c r="C297" s="72">
        <v>19.0</v>
      </c>
      <c r="D297" s="72" t="s">
        <v>29</v>
      </c>
      <c r="E297" s="92">
        <v>12605.0</v>
      </c>
      <c r="F297" s="72">
        <v>10.0</v>
      </c>
      <c r="G297" s="92">
        <v>126050.0</v>
      </c>
      <c r="H297" s="72" t="s">
        <v>7</v>
      </c>
      <c r="I297" s="72" t="s">
        <v>110</v>
      </c>
      <c r="J297" s="72" t="s">
        <v>119</v>
      </c>
      <c r="K297" s="72" t="s">
        <v>112</v>
      </c>
      <c r="L297" s="93" t="s">
        <v>113</v>
      </c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>
      <c r="A298" s="72">
        <v>2024.0</v>
      </c>
      <c r="B298" s="72">
        <v>12.0</v>
      </c>
      <c r="C298" s="72">
        <v>19.0</v>
      </c>
      <c r="D298" s="72" t="s">
        <v>20</v>
      </c>
      <c r="E298" s="92">
        <v>12620.0</v>
      </c>
      <c r="F298" s="72">
        <v>12.0</v>
      </c>
      <c r="G298" s="92">
        <v>151440.0</v>
      </c>
      <c r="H298" s="72" t="s">
        <v>7</v>
      </c>
      <c r="I298" s="72" t="s">
        <v>110</v>
      </c>
      <c r="J298" s="72" t="s">
        <v>119</v>
      </c>
      <c r="K298" s="72" t="s">
        <v>112</v>
      </c>
      <c r="L298" s="93" t="s">
        <v>113</v>
      </c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>
      <c r="A299" s="72">
        <v>2024.0</v>
      </c>
      <c r="B299" s="72">
        <v>12.0</v>
      </c>
      <c r="C299" s="72">
        <v>19.0</v>
      </c>
      <c r="D299" s="72" t="s">
        <v>53</v>
      </c>
      <c r="E299" s="92">
        <v>14505.0</v>
      </c>
      <c r="F299" s="72">
        <v>140.0</v>
      </c>
      <c r="G299" s="92">
        <v>2030700.0</v>
      </c>
      <c r="H299" s="72" t="s">
        <v>7</v>
      </c>
      <c r="I299" s="72" t="s">
        <v>110</v>
      </c>
      <c r="J299" s="72" t="s">
        <v>123</v>
      </c>
      <c r="K299" s="72" t="s">
        <v>112</v>
      </c>
      <c r="L299" s="93" t="s">
        <v>113</v>
      </c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>
      <c r="A300" s="72">
        <v>2024.0</v>
      </c>
      <c r="B300" s="72">
        <v>12.0</v>
      </c>
      <c r="C300" s="72">
        <v>19.0</v>
      </c>
      <c r="D300" s="72" t="s">
        <v>63</v>
      </c>
      <c r="E300" s="111">
        <v>62.39</v>
      </c>
      <c r="F300" s="72">
        <v>1.0</v>
      </c>
      <c r="G300" s="111">
        <v>62.39</v>
      </c>
      <c r="H300" s="72" t="s">
        <v>12</v>
      </c>
      <c r="I300" s="72" t="s">
        <v>110</v>
      </c>
      <c r="J300" s="72" t="s">
        <v>111</v>
      </c>
      <c r="K300" s="72" t="s">
        <v>112</v>
      </c>
      <c r="L300" s="93" t="s">
        <v>113</v>
      </c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>
      <c r="A301" s="72">
        <v>2024.0</v>
      </c>
      <c r="B301" s="72">
        <v>12.0</v>
      </c>
      <c r="C301" s="72">
        <v>21.0</v>
      </c>
      <c r="D301" s="72" t="s">
        <v>41</v>
      </c>
      <c r="E301" s="111">
        <v>435.01</v>
      </c>
      <c r="F301" s="72">
        <v>0.087422</v>
      </c>
      <c r="G301" s="111">
        <v>38.03</v>
      </c>
      <c r="H301" s="72" t="s">
        <v>12</v>
      </c>
      <c r="I301" s="72" t="s">
        <v>110</v>
      </c>
      <c r="J301" s="72" t="s">
        <v>111</v>
      </c>
      <c r="K301" s="72" t="s">
        <v>112</v>
      </c>
      <c r="L301" s="93" t="s">
        <v>113</v>
      </c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>
      <c r="A302" s="72">
        <v>2024.0</v>
      </c>
      <c r="B302" s="72">
        <v>12.0</v>
      </c>
      <c r="C302" s="72">
        <v>26.0</v>
      </c>
      <c r="D302" s="72" t="s">
        <v>20</v>
      </c>
      <c r="E302" s="92">
        <v>11835.0</v>
      </c>
      <c r="F302" s="72">
        <v>10.0</v>
      </c>
      <c r="G302" s="92">
        <v>118350.0</v>
      </c>
      <c r="H302" s="72" t="s">
        <v>7</v>
      </c>
      <c r="I302" s="72" t="s">
        <v>110</v>
      </c>
      <c r="J302" s="72" t="s">
        <v>119</v>
      </c>
      <c r="K302" s="72" t="s">
        <v>112</v>
      </c>
      <c r="L302" s="93" t="s">
        <v>113</v>
      </c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>
      <c r="A303" s="72">
        <v>2024.0</v>
      </c>
      <c r="B303" s="72">
        <v>12.0</v>
      </c>
      <c r="C303" s="72">
        <v>30.0</v>
      </c>
      <c r="D303" s="72" t="s">
        <v>11</v>
      </c>
      <c r="E303" s="111">
        <v>245.18</v>
      </c>
      <c r="F303" s="72">
        <v>0.82745</v>
      </c>
      <c r="G303" s="111">
        <v>202.87</v>
      </c>
      <c r="H303" s="72" t="s">
        <v>12</v>
      </c>
      <c r="I303" s="72" t="s">
        <v>110</v>
      </c>
      <c r="J303" s="72" t="s">
        <v>111</v>
      </c>
      <c r="K303" s="72" t="s">
        <v>116</v>
      </c>
      <c r="L303" s="93" t="s">
        <v>113</v>
      </c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>
      <c r="A304" s="72">
        <v>2025.0</v>
      </c>
      <c r="B304" s="72">
        <v>1.0</v>
      </c>
      <c r="C304" s="72">
        <v>2.0</v>
      </c>
      <c r="D304" s="72" t="s">
        <v>46</v>
      </c>
      <c r="E304" s="111">
        <v>540.35</v>
      </c>
      <c r="F304" s="72">
        <v>0.375515</v>
      </c>
      <c r="G304" s="111">
        <v>202.91</v>
      </c>
      <c r="H304" s="72" t="s">
        <v>12</v>
      </c>
      <c r="I304" s="72" t="s">
        <v>110</v>
      </c>
      <c r="J304" s="72" t="s">
        <v>111</v>
      </c>
      <c r="K304" s="72" t="s">
        <v>116</v>
      </c>
      <c r="L304" s="93" t="s">
        <v>113</v>
      </c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>
      <c r="A305" s="72">
        <v>2025.0</v>
      </c>
      <c r="B305" s="72">
        <v>1.0</v>
      </c>
      <c r="C305" s="72">
        <v>2.0</v>
      </c>
      <c r="D305" s="72" t="s">
        <v>50</v>
      </c>
      <c r="E305" s="111">
        <v>138.64</v>
      </c>
      <c r="F305" s="72">
        <v>1.463574</v>
      </c>
      <c r="G305" s="111">
        <v>202.91</v>
      </c>
      <c r="H305" s="72" t="s">
        <v>12</v>
      </c>
      <c r="I305" s="72" t="s">
        <v>110</v>
      </c>
      <c r="J305" s="72" t="s">
        <v>111</v>
      </c>
      <c r="K305" s="72" t="s">
        <v>116</v>
      </c>
      <c r="L305" s="93" t="s">
        <v>113</v>
      </c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>
      <c r="A306" s="72">
        <v>2025.0</v>
      </c>
      <c r="B306" s="72">
        <v>1.0</v>
      </c>
      <c r="C306" s="72">
        <v>2.0</v>
      </c>
      <c r="D306" s="72" t="s">
        <v>11</v>
      </c>
      <c r="E306" s="111">
        <v>237.0</v>
      </c>
      <c r="F306" s="72">
        <v>0.862923</v>
      </c>
      <c r="G306" s="111">
        <v>204.51</v>
      </c>
      <c r="H306" s="72" t="s">
        <v>12</v>
      </c>
      <c r="I306" s="72" t="s">
        <v>110</v>
      </c>
      <c r="J306" s="72" t="s">
        <v>111</v>
      </c>
      <c r="K306" s="72" t="s">
        <v>116</v>
      </c>
      <c r="L306" s="93" t="s">
        <v>113</v>
      </c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>
      <c r="A307" s="72">
        <v>2025.0</v>
      </c>
      <c r="B307" s="72">
        <v>1.0</v>
      </c>
      <c r="C307" s="72">
        <v>3.0</v>
      </c>
      <c r="D307" s="72" t="s">
        <v>46</v>
      </c>
      <c r="E307" s="111">
        <v>545.56</v>
      </c>
      <c r="F307" s="72">
        <v>0.372727</v>
      </c>
      <c r="G307" s="111">
        <v>203.34</v>
      </c>
      <c r="H307" s="72" t="s">
        <v>12</v>
      </c>
      <c r="I307" s="72" t="s">
        <v>110</v>
      </c>
      <c r="J307" s="72" t="s">
        <v>111</v>
      </c>
      <c r="K307" s="72" t="s">
        <v>116</v>
      </c>
      <c r="L307" s="93" t="s">
        <v>113</v>
      </c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>
      <c r="A308" s="72">
        <v>2025.0</v>
      </c>
      <c r="B308" s="72">
        <v>1.0</v>
      </c>
      <c r="C308" s="72">
        <v>7.0</v>
      </c>
      <c r="D308" s="72" t="s">
        <v>50</v>
      </c>
      <c r="E308" s="111">
        <v>145.48</v>
      </c>
      <c r="F308" s="72">
        <v>1.381748</v>
      </c>
      <c r="G308" s="111">
        <v>201.02</v>
      </c>
      <c r="H308" s="72" t="s">
        <v>12</v>
      </c>
      <c r="I308" s="72" t="s">
        <v>110</v>
      </c>
      <c r="J308" s="72" t="s">
        <v>111</v>
      </c>
      <c r="K308" s="72" t="s">
        <v>116</v>
      </c>
      <c r="L308" s="93" t="s">
        <v>113</v>
      </c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>
      <c r="A309" s="72">
        <v>2025.0</v>
      </c>
      <c r="B309" s="72">
        <v>1.0</v>
      </c>
      <c r="C309" s="72">
        <v>30.0</v>
      </c>
      <c r="D309" s="72" t="s">
        <v>50</v>
      </c>
      <c r="E309" s="111">
        <v>146.9</v>
      </c>
      <c r="F309" s="72">
        <v>0.016677</v>
      </c>
      <c r="G309" s="111">
        <v>2.45</v>
      </c>
      <c r="H309" s="72" t="s">
        <v>12</v>
      </c>
      <c r="I309" s="72" t="s">
        <v>110</v>
      </c>
      <c r="J309" s="72" t="s">
        <v>111</v>
      </c>
      <c r="K309" s="72" t="s">
        <v>116</v>
      </c>
      <c r="L309" s="93" t="s">
        <v>113</v>
      </c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>
      <c r="A310" s="72">
        <v>2025.0</v>
      </c>
      <c r="B310" s="72">
        <v>2.0</v>
      </c>
      <c r="C310" s="72">
        <v>3.0</v>
      </c>
      <c r="D310" s="72" t="s">
        <v>43</v>
      </c>
      <c r="E310" s="111">
        <v>52.5</v>
      </c>
      <c r="F310" s="72">
        <v>0.676838</v>
      </c>
      <c r="G310" s="111">
        <v>35.53</v>
      </c>
      <c r="H310" s="72" t="s">
        <v>12</v>
      </c>
      <c r="I310" s="72" t="s">
        <v>110</v>
      </c>
      <c r="J310" s="72" t="s">
        <v>111</v>
      </c>
      <c r="K310" s="72" t="s">
        <v>116</v>
      </c>
      <c r="L310" s="93" t="s">
        <v>113</v>
      </c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>
      <c r="A311" s="72">
        <v>2025.0</v>
      </c>
      <c r="B311" s="72">
        <v>2.0</v>
      </c>
      <c r="C311" s="72">
        <v>3.0</v>
      </c>
      <c r="D311" s="72" t="s">
        <v>41</v>
      </c>
      <c r="E311" s="111">
        <v>423.36</v>
      </c>
      <c r="F311" s="72">
        <v>0.121375</v>
      </c>
      <c r="G311" s="111">
        <v>51.38</v>
      </c>
      <c r="H311" s="72" t="s">
        <v>12</v>
      </c>
      <c r="I311" s="72" t="s">
        <v>110</v>
      </c>
      <c r="J311" s="72" t="s">
        <v>111</v>
      </c>
      <c r="K311" s="72" t="s">
        <v>112</v>
      </c>
      <c r="L311" s="93" t="s">
        <v>113</v>
      </c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>
      <c r="A312" s="72">
        <v>2025.0</v>
      </c>
      <c r="B312" s="72">
        <v>2.0</v>
      </c>
      <c r="C312" s="72">
        <v>3.0</v>
      </c>
      <c r="D312" s="72" t="s">
        <v>6</v>
      </c>
      <c r="E312" s="92">
        <v>19670.0</v>
      </c>
      <c r="F312" s="72">
        <v>15.0</v>
      </c>
      <c r="G312" s="92">
        <v>295050.0</v>
      </c>
      <c r="H312" s="72" t="s">
        <v>7</v>
      </c>
      <c r="I312" s="72" t="s">
        <v>110</v>
      </c>
      <c r="J312" s="72" t="s">
        <v>119</v>
      </c>
      <c r="K312" s="72" t="s">
        <v>112</v>
      </c>
      <c r="L312" s="93" t="s">
        <v>113</v>
      </c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>
      <c r="A313" s="72">
        <v>2025.0</v>
      </c>
      <c r="B313" s="72">
        <v>2.0</v>
      </c>
      <c r="C313" s="72">
        <v>18.0</v>
      </c>
      <c r="D313" s="72" t="s">
        <v>14</v>
      </c>
      <c r="E313" s="92">
        <v>11935.0</v>
      </c>
      <c r="F313" s="72">
        <v>15.0</v>
      </c>
      <c r="G313" s="92">
        <v>179025.0</v>
      </c>
      <c r="H313" s="72" t="s">
        <v>7</v>
      </c>
      <c r="I313" s="72" t="s">
        <v>110</v>
      </c>
      <c r="J313" s="72" t="s">
        <v>119</v>
      </c>
      <c r="K313" s="72" t="s">
        <v>112</v>
      </c>
      <c r="L313" s="93" t="s">
        <v>113</v>
      </c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>
      <c r="A314" s="72">
        <v>2025.0</v>
      </c>
      <c r="B314" s="72">
        <v>2.0</v>
      </c>
      <c r="C314" s="72">
        <v>18.0</v>
      </c>
      <c r="D314" s="72" t="s">
        <v>17</v>
      </c>
      <c r="E314" s="92">
        <v>21950.0</v>
      </c>
      <c r="F314" s="72">
        <v>15.0</v>
      </c>
      <c r="G314" s="92">
        <v>329250.0</v>
      </c>
      <c r="H314" s="72" t="s">
        <v>7</v>
      </c>
      <c r="I314" s="72" t="s">
        <v>110</v>
      </c>
      <c r="J314" s="72" t="s">
        <v>119</v>
      </c>
      <c r="K314" s="72" t="s">
        <v>112</v>
      </c>
      <c r="L314" s="93" t="s">
        <v>113</v>
      </c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>
      <c r="A315" s="72">
        <v>2025.0</v>
      </c>
      <c r="B315" s="72">
        <v>2.0</v>
      </c>
      <c r="C315" s="72">
        <v>18.0</v>
      </c>
      <c r="D315" s="72" t="s">
        <v>20</v>
      </c>
      <c r="E315" s="92">
        <v>12755.0</v>
      </c>
      <c r="F315" s="72">
        <v>20.0</v>
      </c>
      <c r="G315" s="92">
        <v>255100.0</v>
      </c>
      <c r="H315" s="72" t="s">
        <v>7</v>
      </c>
      <c r="I315" s="72" t="s">
        <v>110</v>
      </c>
      <c r="J315" s="72" t="s">
        <v>119</v>
      </c>
      <c r="K315" s="72" t="s">
        <v>112</v>
      </c>
      <c r="L315" s="93" t="s">
        <v>113</v>
      </c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>
      <c r="A316" s="72">
        <v>2025.0</v>
      </c>
      <c r="B316" s="72">
        <v>2.0</v>
      </c>
      <c r="C316" s="72">
        <v>18.0</v>
      </c>
      <c r="D316" s="72" t="s">
        <v>23</v>
      </c>
      <c r="E316" s="92">
        <v>24365.0</v>
      </c>
      <c r="F316" s="72">
        <v>15.0</v>
      </c>
      <c r="G316" s="92">
        <v>365475.0</v>
      </c>
      <c r="H316" s="72" t="s">
        <v>7</v>
      </c>
      <c r="I316" s="72" t="s">
        <v>110</v>
      </c>
      <c r="J316" s="72" t="s">
        <v>119</v>
      </c>
      <c r="K316" s="72" t="s">
        <v>112</v>
      </c>
      <c r="L316" s="93" t="s">
        <v>113</v>
      </c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>
      <c r="A317" s="72">
        <v>2025.0</v>
      </c>
      <c r="B317" s="72">
        <v>2.0</v>
      </c>
      <c r="C317" s="72">
        <v>18.0</v>
      </c>
      <c r="D317" s="72" t="s">
        <v>26</v>
      </c>
      <c r="E317" s="92">
        <v>22160.0</v>
      </c>
      <c r="F317" s="72">
        <v>15.0</v>
      </c>
      <c r="G317" s="92">
        <v>332400.0</v>
      </c>
      <c r="H317" s="72" t="s">
        <v>7</v>
      </c>
      <c r="I317" s="72" t="s">
        <v>110</v>
      </c>
      <c r="J317" s="72" t="s">
        <v>119</v>
      </c>
      <c r="K317" s="72" t="s">
        <v>112</v>
      </c>
      <c r="L317" s="93" t="s">
        <v>113</v>
      </c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>
      <c r="A318" s="72">
        <v>2025.0</v>
      </c>
      <c r="B318" s="72">
        <v>2.0</v>
      </c>
      <c r="C318" s="72">
        <v>18.0</v>
      </c>
      <c r="D318" s="72" t="s">
        <v>29</v>
      </c>
      <c r="E318" s="92">
        <v>12600.0</v>
      </c>
      <c r="F318" s="72">
        <v>20.0</v>
      </c>
      <c r="G318" s="92">
        <v>252000.0</v>
      </c>
      <c r="H318" s="72" t="s">
        <v>7</v>
      </c>
      <c r="I318" s="72" t="s">
        <v>110</v>
      </c>
      <c r="J318" s="72" t="s">
        <v>119</v>
      </c>
      <c r="K318" s="72" t="s">
        <v>112</v>
      </c>
      <c r="L318" s="93" t="s">
        <v>113</v>
      </c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>
      <c r="A319" s="72">
        <v>2025.0</v>
      </c>
      <c r="B319" s="72">
        <v>2.0</v>
      </c>
      <c r="C319" s="72">
        <v>18.0</v>
      </c>
      <c r="D319" s="72" t="s">
        <v>53</v>
      </c>
      <c r="E319" s="92">
        <v>14720.0</v>
      </c>
      <c r="F319" s="72">
        <v>1.0</v>
      </c>
      <c r="G319" s="92">
        <v>14720.0</v>
      </c>
      <c r="H319" s="72" t="s">
        <v>7</v>
      </c>
      <c r="I319" s="72" t="s">
        <v>110</v>
      </c>
      <c r="J319" s="72" t="s">
        <v>119</v>
      </c>
      <c r="K319" s="72" t="s">
        <v>112</v>
      </c>
      <c r="L319" s="93" t="s">
        <v>113</v>
      </c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>
      <c r="A320" s="72">
        <v>2025.0</v>
      </c>
      <c r="B320" s="72">
        <v>2.0</v>
      </c>
      <c r="C320" s="72">
        <v>18.0</v>
      </c>
      <c r="D320" s="72" t="s">
        <v>53</v>
      </c>
      <c r="E320" s="92">
        <v>14720.0</v>
      </c>
      <c r="F320" s="72">
        <v>2.0</v>
      </c>
      <c r="G320" s="92">
        <v>29440.0</v>
      </c>
      <c r="H320" s="72" t="s">
        <v>7</v>
      </c>
      <c r="I320" s="72" t="s">
        <v>110</v>
      </c>
      <c r="J320" s="72" t="s">
        <v>123</v>
      </c>
      <c r="K320" s="72" t="s">
        <v>112</v>
      </c>
      <c r="L320" s="93" t="s">
        <v>113</v>
      </c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>
      <c r="A321" s="72">
        <v>2025.0</v>
      </c>
      <c r="B321" s="72">
        <v>2.0</v>
      </c>
      <c r="C321" s="72">
        <v>18.0</v>
      </c>
      <c r="D321" s="72" t="s">
        <v>11</v>
      </c>
      <c r="E321" s="111">
        <v>235.09</v>
      </c>
      <c r="F321" s="72">
        <v>0.887018</v>
      </c>
      <c r="G321" s="111">
        <v>208.53</v>
      </c>
      <c r="H321" s="72" t="s">
        <v>12</v>
      </c>
      <c r="I321" s="72" t="s">
        <v>110</v>
      </c>
      <c r="J321" s="72" t="s">
        <v>111</v>
      </c>
      <c r="K321" s="72" t="s">
        <v>116</v>
      </c>
      <c r="L321" s="93" t="s">
        <v>113</v>
      </c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>
      <c r="A322" s="72">
        <v>2025.0</v>
      </c>
      <c r="B322" s="72">
        <v>2.0</v>
      </c>
      <c r="C322" s="72">
        <v>21.0</v>
      </c>
      <c r="D322" s="72" t="s">
        <v>46</v>
      </c>
      <c r="E322" s="111">
        <v>548.39</v>
      </c>
      <c r="F322" s="72">
        <v>0.372951</v>
      </c>
      <c r="G322" s="111">
        <v>204.52</v>
      </c>
      <c r="H322" s="72" t="s">
        <v>12</v>
      </c>
      <c r="I322" s="72" t="s">
        <v>110</v>
      </c>
      <c r="J322" s="72" t="s">
        <v>111</v>
      </c>
      <c r="K322" s="72" t="s">
        <v>116</v>
      </c>
      <c r="L322" s="93" t="s">
        <v>113</v>
      </c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>
      <c r="A323" s="72">
        <v>2025.0</v>
      </c>
      <c r="B323" s="72">
        <v>2.0</v>
      </c>
      <c r="C323" s="72">
        <v>25.0</v>
      </c>
      <c r="D323" s="72" t="s">
        <v>50</v>
      </c>
      <c r="E323" s="111">
        <v>149.07</v>
      </c>
      <c r="F323" s="72">
        <v>1.36443</v>
      </c>
      <c r="G323" s="111">
        <v>203.4</v>
      </c>
      <c r="H323" s="72" t="s">
        <v>12</v>
      </c>
      <c r="I323" s="72" t="s">
        <v>110</v>
      </c>
      <c r="J323" s="72" t="s">
        <v>111</v>
      </c>
      <c r="K323" s="72" t="s">
        <v>116</v>
      </c>
      <c r="L323" s="93" t="s">
        <v>113</v>
      </c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>
      <c r="A324" s="72">
        <v>2025.0</v>
      </c>
      <c r="B324" s="72">
        <v>3.0</v>
      </c>
      <c r="C324" s="72">
        <v>3.0</v>
      </c>
      <c r="D324" s="72" t="s">
        <v>43</v>
      </c>
      <c r="E324" s="111">
        <v>56.97</v>
      </c>
      <c r="F324" s="72">
        <v>0.12687</v>
      </c>
      <c r="G324" s="111">
        <v>7.23</v>
      </c>
      <c r="H324" s="72" t="s">
        <v>12</v>
      </c>
      <c r="I324" s="72" t="s">
        <v>110</v>
      </c>
      <c r="J324" s="72" t="s">
        <v>111</v>
      </c>
      <c r="K324" s="72" t="s">
        <v>121</v>
      </c>
      <c r="L324" s="93" t="s">
        <v>113</v>
      </c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>
      <c r="A325" s="72">
        <v>2025.0</v>
      </c>
      <c r="B325" s="72">
        <v>3.0</v>
      </c>
      <c r="C325" s="72">
        <v>3.0</v>
      </c>
      <c r="D325" s="72" t="s">
        <v>41</v>
      </c>
      <c r="E325" s="111">
        <v>412.04</v>
      </c>
      <c r="F325" s="72">
        <v>0.052564</v>
      </c>
      <c r="G325" s="111">
        <v>21.66</v>
      </c>
      <c r="H325" s="72" t="s">
        <v>12</v>
      </c>
      <c r="I325" s="72" t="s">
        <v>110</v>
      </c>
      <c r="J325" s="72" t="s">
        <v>111</v>
      </c>
      <c r="K325" s="72" t="s">
        <v>112</v>
      </c>
      <c r="L325" s="93" t="s">
        <v>113</v>
      </c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>
      <c r="A326" s="72">
        <v>2025.0</v>
      </c>
      <c r="B326" s="72">
        <v>3.0</v>
      </c>
      <c r="C326" s="72">
        <v>3.0</v>
      </c>
      <c r="D326" s="72" t="s">
        <v>34</v>
      </c>
      <c r="E326" s="92">
        <v>9485.0</v>
      </c>
      <c r="F326" s="72">
        <v>2.0</v>
      </c>
      <c r="G326" s="92">
        <v>18970.0</v>
      </c>
      <c r="H326" s="72" t="s">
        <v>7</v>
      </c>
      <c r="I326" s="72" t="s">
        <v>110</v>
      </c>
      <c r="J326" s="72" t="s">
        <v>111</v>
      </c>
      <c r="K326" s="72" t="s">
        <v>116</v>
      </c>
      <c r="L326" s="93" t="s">
        <v>113</v>
      </c>
      <c r="M326" s="93" t="s">
        <v>124</v>
      </c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>
      <c r="A327" s="72">
        <v>2025.0</v>
      </c>
      <c r="B327" s="72">
        <v>3.0</v>
      </c>
      <c r="C327" s="72">
        <v>16.0</v>
      </c>
      <c r="D327" s="72" t="s">
        <v>6</v>
      </c>
      <c r="E327" s="92">
        <v>17725.0</v>
      </c>
      <c r="F327" s="72">
        <v>10.0</v>
      </c>
      <c r="G327" s="92">
        <v>177250.0</v>
      </c>
      <c r="H327" s="72" t="s">
        <v>7</v>
      </c>
      <c r="I327" s="72" t="s">
        <v>110</v>
      </c>
      <c r="J327" s="72" t="s">
        <v>119</v>
      </c>
      <c r="K327" s="72" t="s">
        <v>112</v>
      </c>
      <c r="L327" s="93" t="s">
        <v>113</v>
      </c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>
      <c r="A328" s="72">
        <v>2025.0</v>
      </c>
      <c r="B328" s="72">
        <v>3.0</v>
      </c>
      <c r="C328" s="72">
        <v>18.0</v>
      </c>
      <c r="D328" s="72" t="s">
        <v>17</v>
      </c>
      <c r="E328" s="92">
        <v>20770.0</v>
      </c>
      <c r="F328" s="72">
        <v>10.0</v>
      </c>
      <c r="G328" s="92">
        <v>207700.0</v>
      </c>
      <c r="H328" s="72" t="s">
        <v>7</v>
      </c>
      <c r="I328" s="72" t="s">
        <v>110</v>
      </c>
      <c r="J328" s="72" t="s">
        <v>119</v>
      </c>
      <c r="K328" s="72" t="s">
        <v>112</v>
      </c>
      <c r="L328" s="93" t="s">
        <v>113</v>
      </c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>
      <c r="A329" s="72">
        <v>2025.0</v>
      </c>
      <c r="B329" s="72">
        <v>3.0</v>
      </c>
      <c r="C329" s="72">
        <v>21.0</v>
      </c>
      <c r="D329" s="72" t="s">
        <v>23</v>
      </c>
      <c r="E329" s="92">
        <v>22235.0</v>
      </c>
      <c r="F329" s="72">
        <v>10.0</v>
      </c>
      <c r="G329" s="92">
        <v>222350.0</v>
      </c>
      <c r="H329" s="72" t="s">
        <v>7</v>
      </c>
      <c r="I329" s="72" t="s">
        <v>110</v>
      </c>
      <c r="J329" s="72" t="s">
        <v>119</v>
      </c>
      <c r="K329" s="72" t="s">
        <v>112</v>
      </c>
      <c r="L329" s="93" t="s">
        <v>113</v>
      </c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>
      <c r="A330" s="72">
        <v>2025.0</v>
      </c>
      <c r="B330" s="72">
        <v>3.0</v>
      </c>
      <c r="C330" s="72">
        <v>24.0</v>
      </c>
      <c r="D330" s="72" t="s">
        <v>26</v>
      </c>
      <c r="E330" s="92">
        <v>20305.0</v>
      </c>
      <c r="F330" s="72">
        <v>20.0</v>
      </c>
      <c r="G330" s="92">
        <v>406100.0</v>
      </c>
      <c r="H330" s="72" t="s">
        <v>7</v>
      </c>
      <c r="I330" s="72" t="s">
        <v>110</v>
      </c>
      <c r="J330" s="72" t="s">
        <v>119</v>
      </c>
      <c r="K330" s="72" t="s">
        <v>112</v>
      </c>
      <c r="L330" s="93" t="s">
        <v>113</v>
      </c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>
      <c r="A331" s="72">
        <v>2025.0</v>
      </c>
      <c r="B331" s="72">
        <v>3.0</v>
      </c>
      <c r="C331" s="72">
        <v>24.0</v>
      </c>
      <c r="D331" s="72" t="s">
        <v>14</v>
      </c>
      <c r="E331" s="92">
        <v>12150.0</v>
      </c>
      <c r="F331" s="72">
        <v>20.0</v>
      </c>
      <c r="G331" s="92">
        <v>243000.0</v>
      </c>
      <c r="H331" s="72" t="s">
        <v>7</v>
      </c>
      <c r="I331" s="72" t="s">
        <v>110</v>
      </c>
      <c r="J331" s="72" t="s">
        <v>119</v>
      </c>
      <c r="K331" s="72" t="s">
        <v>112</v>
      </c>
      <c r="L331" s="93" t="s">
        <v>113</v>
      </c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>
      <c r="A332" s="72">
        <v>2025.0</v>
      </c>
      <c r="B332" s="72">
        <v>3.0</v>
      </c>
      <c r="C332" s="72">
        <v>24.0</v>
      </c>
      <c r="D332" s="72" t="s">
        <v>20</v>
      </c>
      <c r="E332" s="92">
        <v>12965.0</v>
      </c>
      <c r="F332" s="72">
        <v>20.0</v>
      </c>
      <c r="G332" s="92">
        <v>259300.0</v>
      </c>
      <c r="H332" s="72" t="s">
        <v>7</v>
      </c>
      <c r="I332" s="72" t="s">
        <v>110</v>
      </c>
      <c r="J332" s="72" t="s">
        <v>119</v>
      </c>
      <c r="K332" s="72" t="s">
        <v>112</v>
      </c>
      <c r="L332" s="93" t="s">
        <v>113</v>
      </c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>
      <c r="A333" s="72">
        <v>2025.0</v>
      </c>
      <c r="B333" s="72">
        <v>3.0</v>
      </c>
      <c r="C333" s="72">
        <v>24.0</v>
      </c>
      <c r="D333" s="72" t="s">
        <v>29</v>
      </c>
      <c r="E333" s="92">
        <v>13010.0</v>
      </c>
      <c r="F333" s="72">
        <v>20.0</v>
      </c>
      <c r="G333" s="92">
        <v>260200.0</v>
      </c>
      <c r="H333" s="72" t="s">
        <v>7</v>
      </c>
      <c r="I333" s="72" t="s">
        <v>110</v>
      </c>
      <c r="J333" s="72" t="s">
        <v>119</v>
      </c>
      <c r="K333" s="72" t="s">
        <v>112</v>
      </c>
      <c r="L333" s="93" t="s">
        <v>113</v>
      </c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>
      <c r="A334" s="72">
        <v>2025.0</v>
      </c>
      <c r="B334" s="72">
        <v>3.0</v>
      </c>
      <c r="C334" s="72">
        <v>24.0</v>
      </c>
      <c r="D334" s="72" t="s">
        <v>53</v>
      </c>
      <c r="E334" s="92">
        <v>14415.0</v>
      </c>
      <c r="F334" s="72">
        <v>15.0</v>
      </c>
      <c r="G334" s="92">
        <v>216225.0</v>
      </c>
      <c r="H334" s="72" t="s">
        <v>7</v>
      </c>
      <c r="I334" s="72" t="s">
        <v>110</v>
      </c>
      <c r="J334" s="72" t="s">
        <v>119</v>
      </c>
      <c r="K334" s="72" t="s">
        <v>112</v>
      </c>
      <c r="L334" s="93" t="s">
        <v>113</v>
      </c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>
      <c r="A335" s="72">
        <v>2025.0</v>
      </c>
      <c r="B335" s="72">
        <v>3.0</v>
      </c>
      <c r="C335" s="72">
        <v>24.0</v>
      </c>
      <c r="D335" s="72" t="s">
        <v>41</v>
      </c>
      <c r="E335" s="111">
        <v>387.05</v>
      </c>
      <c r="F335" s="72">
        <v>0.046375</v>
      </c>
      <c r="G335" s="111">
        <v>17.95</v>
      </c>
      <c r="H335" s="72" t="s">
        <v>12</v>
      </c>
      <c r="I335" s="72" t="s">
        <v>110</v>
      </c>
      <c r="J335" s="72" t="s">
        <v>111</v>
      </c>
      <c r="K335" s="72" t="s">
        <v>112</v>
      </c>
      <c r="L335" s="93" t="s">
        <v>113</v>
      </c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>
      <c r="A336" s="72">
        <v>2025.0</v>
      </c>
      <c r="B336" s="72">
        <v>3.0</v>
      </c>
      <c r="C336" s="72">
        <v>24.0</v>
      </c>
      <c r="D336" s="72" t="s">
        <v>43</v>
      </c>
      <c r="E336" s="111">
        <v>56.92</v>
      </c>
      <c r="F336" s="72">
        <v>0.070263</v>
      </c>
      <c r="G336" s="111">
        <v>4.0</v>
      </c>
      <c r="H336" s="72" t="s">
        <v>12</v>
      </c>
      <c r="I336" s="72" t="s">
        <v>110</v>
      </c>
      <c r="J336" s="72" t="s">
        <v>111</v>
      </c>
      <c r="K336" s="72" t="s">
        <v>116</v>
      </c>
      <c r="L336" s="93" t="s">
        <v>113</v>
      </c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>
      <c r="A337" s="72">
        <v>2025.0</v>
      </c>
      <c r="B337" s="72">
        <v>3.0</v>
      </c>
      <c r="C337" s="72">
        <v>24.0</v>
      </c>
      <c r="D337" s="72" t="s">
        <v>43</v>
      </c>
      <c r="E337" s="111">
        <v>56.35</v>
      </c>
      <c r="F337" s="72">
        <v>0.712222</v>
      </c>
      <c r="G337" s="111">
        <v>40.13</v>
      </c>
      <c r="H337" s="72" t="s">
        <v>12</v>
      </c>
      <c r="I337" s="72" t="s">
        <v>110</v>
      </c>
      <c r="J337" s="72" t="s">
        <v>111</v>
      </c>
      <c r="K337" s="72" t="s">
        <v>116</v>
      </c>
      <c r="L337" s="93" t="s">
        <v>113</v>
      </c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>
      <c r="A338" s="72">
        <v>2025.0</v>
      </c>
      <c r="B338" s="72">
        <v>4.0</v>
      </c>
      <c r="C338" s="72">
        <v>4.0</v>
      </c>
      <c r="D338" s="72" t="s">
        <v>71</v>
      </c>
      <c r="E338" s="111">
        <v>120.6</v>
      </c>
      <c r="F338" s="72">
        <v>3.0</v>
      </c>
      <c r="G338" s="111">
        <v>361.8</v>
      </c>
      <c r="H338" s="72" t="s">
        <v>12</v>
      </c>
      <c r="I338" s="72" t="s">
        <v>110</v>
      </c>
      <c r="J338" s="72" t="s">
        <v>111</v>
      </c>
      <c r="K338" s="72" t="s">
        <v>112</v>
      </c>
      <c r="L338" s="93" t="s">
        <v>113</v>
      </c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>
      <c r="A339" s="72">
        <v>2025.0</v>
      </c>
      <c r="B339" s="72">
        <v>4.0</v>
      </c>
      <c r="C339" s="72">
        <v>4.0</v>
      </c>
      <c r="D339" s="72" t="s">
        <v>41</v>
      </c>
      <c r="E339" s="111">
        <v>365.41</v>
      </c>
      <c r="F339" s="72">
        <v>1.0</v>
      </c>
      <c r="G339" s="111">
        <v>365.8</v>
      </c>
      <c r="H339" s="72" t="s">
        <v>12</v>
      </c>
      <c r="I339" s="72" t="s">
        <v>110</v>
      </c>
      <c r="J339" s="72" t="s">
        <v>111</v>
      </c>
      <c r="K339" s="72" t="s">
        <v>112</v>
      </c>
      <c r="L339" s="93" t="s">
        <v>113</v>
      </c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>
      <c r="A340" s="72">
        <v>2025.0</v>
      </c>
      <c r="B340" s="72">
        <v>4.0</v>
      </c>
      <c r="C340" s="72">
        <v>22.0</v>
      </c>
      <c r="D340" s="72" t="s">
        <v>53</v>
      </c>
      <c r="E340" s="92">
        <v>13085.0</v>
      </c>
      <c r="F340" s="72">
        <v>1.0</v>
      </c>
      <c r="G340" s="92">
        <v>13085.0</v>
      </c>
      <c r="H340" s="72" t="s">
        <v>7</v>
      </c>
      <c r="I340" s="72" t="s">
        <v>110</v>
      </c>
      <c r="J340" s="72" t="s">
        <v>123</v>
      </c>
      <c r="K340" s="72" t="s">
        <v>112</v>
      </c>
      <c r="L340" s="93" t="s">
        <v>113</v>
      </c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>
      <c r="A341" s="72">
        <v>2025.0</v>
      </c>
      <c r="B341" s="72">
        <v>4.0</v>
      </c>
      <c r="C341" s="72">
        <v>30.0</v>
      </c>
      <c r="D341" s="72" t="s">
        <v>53</v>
      </c>
      <c r="E341" s="92">
        <v>14150.0</v>
      </c>
      <c r="F341" s="72">
        <v>1.0</v>
      </c>
      <c r="G341" s="92">
        <v>14150.0</v>
      </c>
      <c r="H341" s="72" t="s">
        <v>7</v>
      </c>
      <c r="I341" s="72" t="s">
        <v>110</v>
      </c>
      <c r="J341" s="72" t="s">
        <v>123</v>
      </c>
      <c r="K341" s="72" t="s">
        <v>112</v>
      </c>
      <c r="L341" s="93" t="s">
        <v>113</v>
      </c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>
      <c r="A342" s="72">
        <v>2025.0</v>
      </c>
      <c r="B342" s="72">
        <v>5.0</v>
      </c>
      <c r="C342" s="72">
        <v>8.0</v>
      </c>
      <c r="D342" s="72" t="s">
        <v>53</v>
      </c>
      <c r="E342" s="92">
        <v>14300.0</v>
      </c>
      <c r="F342" s="72">
        <v>4.0</v>
      </c>
      <c r="G342" s="92">
        <v>57200.0</v>
      </c>
      <c r="H342" s="72" t="s">
        <v>7</v>
      </c>
      <c r="I342" s="72" t="s">
        <v>110</v>
      </c>
      <c r="J342" s="72" t="s">
        <v>119</v>
      </c>
      <c r="K342" s="72" t="s">
        <v>112</v>
      </c>
      <c r="L342" s="93" t="s">
        <v>113</v>
      </c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>
      <c r="A343" s="72">
        <v>2025.0</v>
      </c>
      <c r="B343" s="72">
        <v>5.0</v>
      </c>
      <c r="C343" s="72">
        <v>12.0</v>
      </c>
      <c r="D343" s="72" t="s">
        <v>26</v>
      </c>
      <c r="E343" s="92">
        <v>20500.0</v>
      </c>
      <c r="F343" s="72">
        <v>20.0</v>
      </c>
      <c r="G343" s="92">
        <v>410000.0</v>
      </c>
      <c r="H343" s="72" t="s">
        <v>7</v>
      </c>
      <c r="I343" s="72" t="s">
        <v>110</v>
      </c>
      <c r="J343" s="72" t="s">
        <v>119</v>
      </c>
      <c r="K343" s="72" t="s">
        <v>112</v>
      </c>
      <c r="L343" s="93" t="s">
        <v>113</v>
      </c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>
      <c r="A344" s="72">
        <v>2025.0</v>
      </c>
      <c r="B344" s="72">
        <v>5.0</v>
      </c>
      <c r="C344" s="72">
        <v>12.0</v>
      </c>
      <c r="D344" s="72" t="s">
        <v>23</v>
      </c>
      <c r="E344" s="92">
        <v>22650.0</v>
      </c>
      <c r="F344" s="72">
        <v>15.0</v>
      </c>
      <c r="G344" s="92">
        <v>339750.0</v>
      </c>
      <c r="H344" s="72" t="s">
        <v>7</v>
      </c>
      <c r="I344" s="72" t="s">
        <v>110</v>
      </c>
      <c r="J344" s="72" t="s">
        <v>119</v>
      </c>
      <c r="K344" s="72" t="s">
        <v>112</v>
      </c>
      <c r="L344" s="93" t="s">
        <v>113</v>
      </c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>
      <c r="A345" s="72">
        <v>2025.0</v>
      </c>
      <c r="B345" s="72">
        <v>5.0</v>
      </c>
      <c r="C345" s="72">
        <v>19.0</v>
      </c>
      <c r="D345" s="72" t="s">
        <v>29</v>
      </c>
      <c r="E345" s="92">
        <v>12360.0</v>
      </c>
      <c r="F345" s="72">
        <v>20.0</v>
      </c>
      <c r="G345" s="92">
        <v>247200.0</v>
      </c>
      <c r="H345" s="72" t="s">
        <v>7</v>
      </c>
      <c r="I345" s="72" t="s">
        <v>110</v>
      </c>
      <c r="J345" s="72" t="s">
        <v>119</v>
      </c>
      <c r="K345" s="72" t="s">
        <v>112</v>
      </c>
      <c r="L345" s="93" t="s">
        <v>113</v>
      </c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>
      <c r="A346" s="72">
        <v>2025.0</v>
      </c>
      <c r="B346" s="72">
        <v>5.0</v>
      </c>
      <c r="C346" s="72">
        <v>19.0</v>
      </c>
      <c r="D346" s="72" t="s">
        <v>6</v>
      </c>
      <c r="E346" s="92">
        <v>17860.0</v>
      </c>
      <c r="F346" s="72">
        <v>15.0</v>
      </c>
      <c r="G346" s="92">
        <v>267900.0</v>
      </c>
      <c r="H346" s="72" t="s">
        <v>7</v>
      </c>
      <c r="I346" s="72" t="s">
        <v>110</v>
      </c>
      <c r="J346" s="72" t="s">
        <v>119</v>
      </c>
      <c r="K346" s="72" t="s">
        <v>112</v>
      </c>
      <c r="L346" s="93" t="s">
        <v>113</v>
      </c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>
      <c r="A347" s="72">
        <v>2025.0</v>
      </c>
      <c r="B347" s="72">
        <v>5.0</v>
      </c>
      <c r="C347" s="72">
        <v>19.0</v>
      </c>
      <c r="D347" s="72" t="s">
        <v>14</v>
      </c>
      <c r="E347" s="92">
        <v>11685.0</v>
      </c>
      <c r="F347" s="72">
        <v>20.0</v>
      </c>
      <c r="G347" s="92">
        <v>233700.0</v>
      </c>
      <c r="H347" s="72" t="s">
        <v>7</v>
      </c>
      <c r="I347" s="72" t="s">
        <v>110</v>
      </c>
      <c r="J347" s="72" t="s">
        <v>119</v>
      </c>
      <c r="K347" s="72" t="s">
        <v>112</v>
      </c>
      <c r="L347" s="93" t="s">
        <v>113</v>
      </c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>
      <c r="A348" s="72">
        <v>2025.0</v>
      </c>
      <c r="B348" s="72">
        <v>5.0</v>
      </c>
      <c r="C348" s="72">
        <v>19.0</v>
      </c>
      <c r="D348" s="72" t="s">
        <v>17</v>
      </c>
      <c r="E348" s="92">
        <v>20500.0</v>
      </c>
      <c r="F348" s="72">
        <v>15.0</v>
      </c>
      <c r="G348" s="92">
        <v>307500.0</v>
      </c>
      <c r="H348" s="72" t="s">
        <v>7</v>
      </c>
      <c r="I348" s="72" t="s">
        <v>110</v>
      </c>
      <c r="J348" s="72" t="s">
        <v>119</v>
      </c>
      <c r="K348" s="72" t="s">
        <v>112</v>
      </c>
      <c r="L348" s="93" t="s">
        <v>113</v>
      </c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>
      <c r="A349" s="72">
        <v>2025.0</v>
      </c>
      <c r="B349" s="72">
        <v>5.0</v>
      </c>
      <c r="C349" s="72">
        <v>19.0</v>
      </c>
      <c r="D349" s="72" t="s">
        <v>41</v>
      </c>
      <c r="E349" s="111">
        <v>435.05</v>
      </c>
      <c r="F349" s="72">
        <v>0.029812</v>
      </c>
      <c r="G349" s="111">
        <v>12.97</v>
      </c>
      <c r="H349" s="72" t="s">
        <v>12</v>
      </c>
      <c r="I349" s="72" t="s">
        <v>110</v>
      </c>
      <c r="J349" s="72" t="s">
        <v>111</v>
      </c>
      <c r="K349" s="72" t="s">
        <v>112</v>
      </c>
      <c r="L349" s="93" t="s">
        <v>113</v>
      </c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>
      <c r="A350" s="72">
        <v>2025.0</v>
      </c>
      <c r="B350" s="72">
        <v>5.0</v>
      </c>
      <c r="C350" s="72">
        <v>19.0</v>
      </c>
      <c r="D350" s="72" t="s">
        <v>41</v>
      </c>
      <c r="E350" s="111">
        <v>370.1</v>
      </c>
      <c r="F350" s="72">
        <v>0.052359</v>
      </c>
      <c r="G350" s="111">
        <v>19.38</v>
      </c>
      <c r="H350" s="72" t="s">
        <v>12</v>
      </c>
      <c r="I350" s="72" t="s">
        <v>110</v>
      </c>
      <c r="J350" s="72" t="s">
        <v>111</v>
      </c>
      <c r="K350" s="72" t="s">
        <v>112</v>
      </c>
      <c r="L350" s="93" t="s">
        <v>113</v>
      </c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>
      <c r="A351" s="72">
        <v>2025.0</v>
      </c>
      <c r="B351" s="72">
        <v>5.0</v>
      </c>
      <c r="C351" s="72">
        <v>28.0</v>
      </c>
      <c r="D351" s="72" t="s">
        <v>43</v>
      </c>
      <c r="E351" s="110">
        <v>55.8669</v>
      </c>
      <c r="F351" s="72">
        <v>0.11683</v>
      </c>
      <c r="G351" s="121">
        <f>sum(E351*F351)</f>
        <v>6.526929927</v>
      </c>
      <c r="H351" s="72" t="s">
        <v>12</v>
      </c>
      <c r="I351" s="72" t="s">
        <v>110</v>
      </c>
      <c r="J351" s="72" t="s">
        <v>111</v>
      </c>
      <c r="K351" s="72" t="s">
        <v>121</v>
      </c>
      <c r="L351" s="93" t="s">
        <v>113</v>
      </c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>
      <c r="A352" s="72">
        <v>2025.0</v>
      </c>
      <c r="B352" s="72">
        <v>6.0</v>
      </c>
      <c r="C352" s="72">
        <v>5.0</v>
      </c>
      <c r="D352" s="72" t="s">
        <v>6</v>
      </c>
      <c r="E352" s="92">
        <v>17970.0</v>
      </c>
      <c r="F352" s="72">
        <v>10.0</v>
      </c>
      <c r="G352" s="92">
        <v>179700.0</v>
      </c>
      <c r="H352" s="72" t="s">
        <v>7</v>
      </c>
      <c r="I352" s="72" t="s">
        <v>110</v>
      </c>
      <c r="J352" s="72" t="s">
        <v>119</v>
      </c>
      <c r="K352" s="72" t="s">
        <v>112</v>
      </c>
      <c r="L352" s="93" t="s">
        <v>113</v>
      </c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>
      <c r="A353" s="72">
        <v>2025.0</v>
      </c>
      <c r="B353" s="72">
        <v>6.0</v>
      </c>
      <c r="C353" s="72">
        <v>5.0</v>
      </c>
      <c r="D353" s="72" t="s">
        <v>14</v>
      </c>
      <c r="E353" s="92">
        <v>11395.0</v>
      </c>
      <c r="F353" s="72">
        <v>15.0</v>
      </c>
      <c r="G353" s="92">
        <v>170925.0</v>
      </c>
      <c r="H353" s="72" t="s">
        <v>7</v>
      </c>
      <c r="I353" s="72" t="s">
        <v>110</v>
      </c>
      <c r="J353" s="72" t="s">
        <v>119</v>
      </c>
      <c r="K353" s="72" t="s">
        <v>112</v>
      </c>
      <c r="L353" s="93" t="s">
        <v>113</v>
      </c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>
      <c r="A354" s="72">
        <v>2025.0</v>
      </c>
      <c r="B354" s="72">
        <v>6.0</v>
      </c>
      <c r="C354" s="72">
        <v>5.0</v>
      </c>
      <c r="D354" s="72" t="s">
        <v>26</v>
      </c>
      <c r="E354" s="92">
        <v>20780.0</v>
      </c>
      <c r="F354" s="72">
        <v>15.0</v>
      </c>
      <c r="G354" s="92">
        <v>311700.0</v>
      </c>
      <c r="H354" s="72" t="s">
        <v>7</v>
      </c>
      <c r="I354" s="72" t="s">
        <v>110</v>
      </c>
      <c r="J354" s="72" t="s">
        <v>119</v>
      </c>
      <c r="K354" s="72" t="s">
        <v>112</v>
      </c>
      <c r="L354" s="93" t="s">
        <v>113</v>
      </c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>
      <c r="A355" s="72">
        <v>2025.0</v>
      </c>
      <c r="B355" s="72">
        <v>6.0</v>
      </c>
      <c r="C355" s="72">
        <v>5.0</v>
      </c>
      <c r="D355" s="72" t="s">
        <v>23</v>
      </c>
      <c r="E355" s="92">
        <v>22535.0</v>
      </c>
      <c r="F355" s="72">
        <v>10.0</v>
      </c>
      <c r="G355" s="92">
        <v>225350.0</v>
      </c>
      <c r="H355" s="72" t="s">
        <v>7</v>
      </c>
      <c r="I355" s="72" t="s">
        <v>110</v>
      </c>
      <c r="J355" s="72" t="s">
        <v>119</v>
      </c>
      <c r="K355" s="72" t="s">
        <v>112</v>
      </c>
      <c r="L355" s="93" t="s">
        <v>113</v>
      </c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>
      <c r="A356" s="72">
        <v>2025.0</v>
      </c>
      <c r="B356" s="72">
        <v>6.0</v>
      </c>
      <c r="C356" s="72">
        <v>5.0</v>
      </c>
      <c r="D356" s="72" t="s">
        <v>17</v>
      </c>
      <c r="E356" s="92">
        <v>20175.0</v>
      </c>
      <c r="F356" s="72">
        <v>10.0</v>
      </c>
      <c r="G356" s="92">
        <v>201750.0</v>
      </c>
      <c r="H356" s="72" t="s">
        <v>7</v>
      </c>
      <c r="I356" s="72" t="s">
        <v>110</v>
      </c>
      <c r="J356" s="72" t="s">
        <v>119</v>
      </c>
      <c r="K356" s="72" t="s">
        <v>112</v>
      </c>
      <c r="L356" s="93" t="s">
        <v>113</v>
      </c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>
      <c r="A357" s="72">
        <v>2025.0</v>
      </c>
      <c r="B357" s="72">
        <v>6.0</v>
      </c>
      <c r="C357" s="72">
        <v>5.0</v>
      </c>
      <c r="D357" s="72" t="s">
        <v>29</v>
      </c>
      <c r="E357" s="92">
        <v>12150.0</v>
      </c>
      <c r="F357" s="72">
        <v>15.0</v>
      </c>
      <c r="G357" s="92">
        <v>182250.0</v>
      </c>
      <c r="H357" s="72" t="s">
        <v>7</v>
      </c>
      <c r="I357" s="72" t="s">
        <v>110</v>
      </c>
      <c r="J357" s="72" t="s">
        <v>119</v>
      </c>
      <c r="K357" s="72" t="s">
        <v>112</v>
      </c>
      <c r="L357" s="93" t="s">
        <v>113</v>
      </c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>
      <c r="A358" s="72">
        <v>2025.0</v>
      </c>
      <c r="B358" s="72">
        <v>6.0</v>
      </c>
      <c r="C358" s="72">
        <v>5.0</v>
      </c>
      <c r="D358" s="72" t="s">
        <v>34</v>
      </c>
      <c r="E358" s="92">
        <v>13860.0</v>
      </c>
      <c r="F358" s="72">
        <v>20.0</v>
      </c>
      <c r="G358" s="92">
        <v>277200.0</v>
      </c>
      <c r="H358" s="72" t="s">
        <v>7</v>
      </c>
      <c r="I358" s="72" t="s">
        <v>110</v>
      </c>
      <c r="J358" s="72" t="s">
        <v>119</v>
      </c>
      <c r="K358" s="72" t="s">
        <v>112</v>
      </c>
      <c r="L358" s="93" t="s">
        <v>113</v>
      </c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>
      <c r="A359" s="72">
        <v>2025.0</v>
      </c>
      <c r="B359" s="72">
        <v>6.0</v>
      </c>
      <c r="C359" s="72">
        <v>6.0</v>
      </c>
      <c r="D359" s="72" t="s">
        <v>75</v>
      </c>
      <c r="E359" s="92">
        <v>67300.0</v>
      </c>
      <c r="F359" s="72">
        <v>10.0</v>
      </c>
      <c r="G359" s="92">
        <v>673000.0</v>
      </c>
      <c r="H359" s="72" t="s">
        <v>7</v>
      </c>
      <c r="I359" s="72" t="s">
        <v>110</v>
      </c>
      <c r="J359" s="72" t="s">
        <v>111</v>
      </c>
      <c r="K359" s="72" t="s">
        <v>112</v>
      </c>
      <c r="L359" s="93" t="s">
        <v>113</v>
      </c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>
      <c r="A360" s="72">
        <v>2025.0</v>
      </c>
      <c r="B360" s="72">
        <v>6.0</v>
      </c>
      <c r="C360" s="72">
        <v>23.0</v>
      </c>
      <c r="D360" s="72" t="s">
        <v>11</v>
      </c>
      <c r="E360" s="111">
        <v>277.47</v>
      </c>
      <c r="F360" s="72">
        <v>0.794963</v>
      </c>
      <c r="G360" s="111">
        <v>220.58</v>
      </c>
      <c r="H360" s="72" t="s">
        <v>12</v>
      </c>
      <c r="I360" s="72" t="s">
        <v>110</v>
      </c>
      <c r="J360" s="72" t="s">
        <v>111</v>
      </c>
      <c r="K360" s="72" t="s">
        <v>116</v>
      </c>
      <c r="L360" s="93" t="s">
        <v>113</v>
      </c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>
      <c r="A361" s="72">
        <v>2025.0</v>
      </c>
      <c r="B361" s="72">
        <v>7.0</v>
      </c>
      <c r="C361" s="72">
        <v>1.0</v>
      </c>
      <c r="D361" s="72" t="s">
        <v>46</v>
      </c>
      <c r="E361" s="111">
        <v>567.04</v>
      </c>
      <c r="F361" s="72">
        <v>0.388032</v>
      </c>
      <c r="G361" s="111">
        <v>220.03</v>
      </c>
      <c r="H361" s="72" t="s">
        <v>12</v>
      </c>
      <c r="I361" s="72" t="s">
        <v>110</v>
      </c>
      <c r="J361" s="72" t="s">
        <v>111</v>
      </c>
      <c r="K361" s="72" t="s">
        <v>116</v>
      </c>
      <c r="L361" s="93" t="s">
        <v>113</v>
      </c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>
      <c r="A362" s="72">
        <v>2025.0</v>
      </c>
      <c r="B362" s="72">
        <v>7.0</v>
      </c>
      <c r="C362" s="72">
        <v>1.0</v>
      </c>
      <c r="D362" s="72" t="s">
        <v>43</v>
      </c>
      <c r="E362" s="111">
        <v>57.37</v>
      </c>
      <c r="F362" s="72">
        <v>3.823573</v>
      </c>
      <c r="G362" s="111">
        <v>219.36</v>
      </c>
      <c r="H362" s="72" t="s">
        <v>12</v>
      </c>
      <c r="I362" s="72" t="s">
        <v>110</v>
      </c>
      <c r="J362" s="72" t="s">
        <v>111</v>
      </c>
      <c r="K362" s="72" t="s">
        <v>116</v>
      </c>
      <c r="L362" s="93" t="s">
        <v>113</v>
      </c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>
      <c r="A363" s="72">
        <v>2025.0</v>
      </c>
      <c r="B363" s="72">
        <v>7.0</v>
      </c>
      <c r="C363" s="72">
        <v>1.0</v>
      </c>
      <c r="D363" s="72" t="s">
        <v>53</v>
      </c>
      <c r="E363" s="92">
        <v>14555.0</v>
      </c>
      <c r="F363" s="72">
        <v>1.0</v>
      </c>
      <c r="G363" s="92">
        <v>14555.0</v>
      </c>
      <c r="H363" s="72" t="s">
        <v>7</v>
      </c>
      <c r="I363" s="72" t="s">
        <v>110</v>
      </c>
      <c r="J363" s="72" t="s">
        <v>123</v>
      </c>
      <c r="K363" s="72" t="s">
        <v>112</v>
      </c>
      <c r="L363" s="93" t="s">
        <v>113</v>
      </c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>
      <c r="A364" s="72">
        <v>2025.0</v>
      </c>
      <c r="B364" s="72">
        <v>7.0</v>
      </c>
      <c r="C364" s="72">
        <v>3.0</v>
      </c>
      <c r="D364" s="72" t="s">
        <v>75</v>
      </c>
      <c r="E364" s="92">
        <v>77500.0</v>
      </c>
      <c r="F364" s="72">
        <v>3.0</v>
      </c>
      <c r="G364" s="92">
        <v>232500.0</v>
      </c>
      <c r="H364" s="72" t="s">
        <v>7</v>
      </c>
      <c r="I364" s="72" t="s">
        <v>110</v>
      </c>
      <c r="J364" s="72" t="s">
        <v>111</v>
      </c>
      <c r="K364" s="72" t="s">
        <v>112</v>
      </c>
      <c r="L364" s="93" t="s">
        <v>113</v>
      </c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>
      <c r="A365" s="72">
        <v>2025.0</v>
      </c>
      <c r="B365" s="72">
        <v>7.0</v>
      </c>
      <c r="C365" s="72">
        <v>16.0</v>
      </c>
      <c r="D365" s="72" t="s">
        <v>34</v>
      </c>
      <c r="E365" s="92">
        <v>15440.0</v>
      </c>
      <c r="F365" s="72">
        <v>10.0</v>
      </c>
      <c r="G365" s="92">
        <v>154400.0</v>
      </c>
      <c r="H365" s="72" t="s">
        <v>7</v>
      </c>
      <c r="I365" s="72" t="s">
        <v>110</v>
      </c>
      <c r="J365" s="72" t="s">
        <v>111</v>
      </c>
      <c r="K365" s="72" t="s">
        <v>112</v>
      </c>
      <c r="L365" s="93" t="s">
        <v>113</v>
      </c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>
      <c r="A366" s="72">
        <v>2025.0</v>
      </c>
      <c r="B366" s="72">
        <v>7.0</v>
      </c>
      <c r="C366" s="72">
        <v>16.0</v>
      </c>
      <c r="D366" s="72" t="s">
        <v>57</v>
      </c>
      <c r="E366" s="92">
        <v>15690.0</v>
      </c>
      <c r="F366" s="72">
        <v>10.0</v>
      </c>
      <c r="G366" s="92">
        <v>156900.0</v>
      </c>
      <c r="H366" s="72" t="s">
        <v>7</v>
      </c>
      <c r="I366" s="72" t="s">
        <v>110</v>
      </c>
      <c r="J366" s="72" t="s">
        <v>119</v>
      </c>
      <c r="K366" s="72" t="s">
        <v>112</v>
      </c>
      <c r="L366" s="93" t="s">
        <v>113</v>
      </c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>
      <c r="A367" s="72">
        <v>2025.0</v>
      </c>
      <c r="B367" s="72">
        <v>7.0</v>
      </c>
      <c r="C367" s="72">
        <v>16.0</v>
      </c>
      <c r="D367" s="72" t="s">
        <v>32</v>
      </c>
      <c r="E367" s="92">
        <v>19775.0</v>
      </c>
      <c r="F367" s="72">
        <v>10.0</v>
      </c>
      <c r="G367" s="92">
        <v>197750.0</v>
      </c>
      <c r="H367" s="72" t="s">
        <v>7</v>
      </c>
      <c r="I367" s="72" t="s">
        <v>110</v>
      </c>
      <c r="J367" s="72" t="s">
        <v>119</v>
      </c>
      <c r="K367" s="72" t="s">
        <v>112</v>
      </c>
      <c r="L367" s="93" t="s">
        <v>113</v>
      </c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>
      <c r="A368" s="72">
        <v>2025.0</v>
      </c>
      <c r="B368" s="72">
        <v>7.0</v>
      </c>
      <c r="C368" s="72">
        <v>16.0</v>
      </c>
      <c r="D368" s="72" t="s">
        <v>14</v>
      </c>
      <c r="E368" s="92">
        <v>11685.0</v>
      </c>
      <c r="F368" s="72">
        <v>10.0</v>
      </c>
      <c r="G368" s="92">
        <v>116850.0</v>
      </c>
      <c r="H368" s="72" t="s">
        <v>7</v>
      </c>
      <c r="I368" s="72" t="s">
        <v>110</v>
      </c>
      <c r="J368" s="72" t="s">
        <v>119</v>
      </c>
      <c r="K368" s="72" t="s">
        <v>112</v>
      </c>
      <c r="L368" s="93" t="s">
        <v>113</v>
      </c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>
      <c r="A369" s="72">
        <v>2025.0</v>
      </c>
      <c r="B369" s="72">
        <v>7.0</v>
      </c>
      <c r="C369" s="72">
        <v>16.0</v>
      </c>
      <c r="D369" s="72" t="s">
        <v>6</v>
      </c>
      <c r="E369" s="92">
        <v>20800.0</v>
      </c>
      <c r="F369" s="72">
        <v>5.0</v>
      </c>
      <c r="G369" s="92">
        <v>104000.0</v>
      </c>
      <c r="H369" s="72" t="s">
        <v>7</v>
      </c>
      <c r="I369" s="72" t="s">
        <v>110</v>
      </c>
      <c r="J369" s="72" t="s">
        <v>119</v>
      </c>
      <c r="K369" s="72" t="s">
        <v>112</v>
      </c>
      <c r="L369" s="93" t="s">
        <v>113</v>
      </c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>
      <c r="A370" s="72">
        <v>2025.0</v>
      </c>
      <c r="B370" s="72">
        <v>7.0</v>
      </c>
      <c r="C370" s="72">
        <v>16.0</v>
      </c>
      <c r="D370" s="72" t="s">
        <v>34</v>
      </c>
      <c r="E370" s="92">
        <v>15390.0</v>
      </c>
      <c r="F370" s="72">
        <v>5.0</v>
      </c>
      <c r="G370" s="92">
        <v>76950.0</v>
      </c>
      <c r="H370" s="72" t="s">
        <v>7</v>
      </c>
      <c r="I370" s="72" t="s">
        <v>110</v>
      </c>
      <c r="J370" s="72" t="s">
        <v>119</v>
      </c>
      <c r="K370" s="72" t="s">
        <v>112</v>
      </c>
      <c r="L370" s="93" t="s">
        <v>113</v>
      </c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>
      <c r="A371" s="72">
        <v>2025.0</v>
      </c>
      <c r="B371" s="72">
        <v>7.0</v>
      </c>
      <c r="C371" s="72">
        <v>16.0</v>
      </c>
      <c r="D371" s="72" t="s">
        <v>23</v>
      </c>
      <c r="E371" s="92">
        <v>24170.0</v>
      </c>
      <c r="F371" s="72">
        <v>5.0</v>
      </c>
      <c r="G371" s="92">
        <v>120850.0</v>
      </c>
      <c r="H371" s="72" t="s">
        <v>7</v>
      </c>
      <c r="I371" s="72" t="s">
        <v>110</v>
      </c>
      <c r="J371" s="72" t="s">
        <v>119</v>
      </c>
      <c r="K371" s="72" t="s">
        <v>112</v>
      </c>
      <c r="L371" s="93" t="s">
        <v>113</v>
      </c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>
      <c r="A372" s="72">
        <v>2025.0</v>
      </c>
      <c r="B372" s="72">
        <v>7.0</v>
      </c>
      <c r="C372" s="72">
        <v>16.0</v>
      </c>
      <c r="D372" s="72" t="s">
        <v>17</v>
      </c>
      <c r="E372" s="92">
        <v>21490.0</v>
      </c>
      <c r="F372" s="72">
        <v>5.0</v>
      </c>
      <c r="G372" s="92">
        <v>107450.0</v>
      </c>
      <c r="H372" s="72" t="s">
        <v>7</v>
      </c>
      <c r="I372" s="72" t="s">
        <v>110</v>
      </c>
      <c r="J372" s="72" t="s">
        <v>119</v>
      </c>
      <c r="K372" s="72" t="s">
        <v>112</v>
      </c>
      <c r="L372" s="93" t="s">
        <v>113</v>
      </c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>
      <c r="A373" s="72">
        <v>2025.0</v>
      </c>
      <c r="B373" s="72">
        <v>7.0</v>
      </c>
      <c r="C373" s="72">
        <v>16.0</v>
      </c>
      <c r="D373" s="72" t="s">
        <v>26</v>
      </c>
      <c r="E373" s="92">
        <v>20880.0</v>
      </c>
      <c r="F373" s="72">
        <v>10.0</v>
      </c>
      <c r="G373" s="92">
        <v>208800.0</v>
      </c>
      <c r="H373" s="72" t="s">
        <v>7</v>
      </c>
      <c r="I373" s="72" t="s">
        <v>110</v>
      </c>
      <c r="J373" s="72" t="s">
        <v>119</v>
      </c>
      <c r="K373" s="72" t="s">
        <v>112</v>
      </c>
      <c r="L373" s="93" t="s">
        <v>113</v>
      </c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>
      <c r="A374" s="72">
        <v>2025.0</v>
      </c>
      <c r="B374" s="72">
        <v>7.0</v>
      </c>
      <c r="C374" s="72">
        <v>18.0</v>
      </c>
      <c r="D374" s="72" t="s">
        <v>53</v>
      </c>
      <c r="E374" s="92">
        <v>15155.0</v>
      </c>
      <c r="F374" s="72">
        <v>1.0</v>
      </c>
      <c r="G374" s="92">
        <v>15155.0</v>
      </c>
      <c r="H374" s="72" t="s">
        <v>7</v>
      </c>
      <c r="I374" s="72" t="s">
        <v>110</v>
      </c>
      <c r="J374" s="72" t="s">
        <v>123</v>
      </c>
      <c r="K374" s="72" t="s">
        <v>112</v>
      </c>
      <c r="L374" s="93" t="s">
        <v>113</v>
      </c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>
      <c r="A375" s="72">
        <v>2025.0</v>
      </c>
      <c r="B375" s="72">
        <v>8.0</v>
      </c>
      <c r="C375" s="72">
        <v>1.0</v>
      </c>
      <c r="D375" s="72" t="s">
        <v>34</v>
      </c>
      <c r="E375" s="92">
        <v>15415.0</v>
      </c>
      <c r="F375" s="72">
        <v>10.0</v>
      </c>
      <c r="G375" s="92">
        <v>154150.0</v>
      </c>
      <c r="H375" s="72" t="s">
        <v>7</v>
      </c>
      <c r="I375" s="72" t="s">
        <v>110</v>
      </c>
      <c r="J375" s="72" t="s">
        <v>119</v>
      </c>
      <c r="K375" s="72" t="s">
        <v>112</v>
      </c>
      <c r="L375" s="93" t="s">
        <v>113</v>
      </c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>
      <c r="A376" s="72">
        <v>2025.0</v>
      </c>
      <c r="B376" s="72">
        <v>8.0</v>
      </c>
      <c r="C376" s="72">
        <v>1.0</v>
      </c>
      <c r="D376" s="72" t="s">
        <v>29</v>
      </c>
      <c r="E376" s="92">
        <v>12565.0</v>
      </c>
      <c r="F376" s="72">
        <v>10.0</v>
      </c>
      <c r="G376" s="92">
        <v>125650.0</v>
      </c>
      <c r="H376" s="72" t="s">
        <v>7</v>
      </c>
      <c r="I376" s="72" t="s">
        <v>110</v>
      </c>
      <c r="J376" s="72" t="s">
        <v>119</v>
      </c>
      <c r="K376" s="72" t="s">
        <v>112</v>
      </c>
      <c r="L376" s="93" t="s">
        <v>113</v>
      </c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>
      <c r="A377" s="72">
        <v>2025.0</v>
      </c>
      <c r="B377" s="72">
        <v>8.0</v>
      </c>
      <c r="C377" s="72">
        <v>26.0</v>
      </c>
      <c r="D377" s="72" t="s">
        <v>17</v>
      </c>
      <c r="E377" s="92">
        <v>22220.0</v>
      </c>
      <c r="F377" s="72">
        <v>5.0</v>
      </c>
      <c r="G377" s="92">
        <v>111100.0</v>
      </c>
      <c r="H377" s="72" t="s">
        <v>7</v>
      </c>
      <c r="I377" s="72" t="s">
        <v>110</v>
      </c>
      <c r="J377" s="72" t="s">
        <v>119</v>
      </c>
      <c r="K377" s="72" t="s">
        <v>112</v>
      </c>
      <c r="L377" s="93" t="s">
        <v>113</v>
      </c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>
      <c r="A378" s="72">
        <v>2025.0</v>
      </c>
      <c r="B378" s="72">
        <v>8.0</v>
      </c>
      <c r="C378" s="72">
        <v>26.0</v>
      </c>
      <c r="D378" s="72" t="s">
        <v>23</v>
      </c>
      <c r="E378" s="92">
        <v>24820.0</v>
      </c>
      <c r="F378" s="72">
        <v>5.0</v>
      </c>
      <c r="G378" s="92">
        <v>124100.0</v>
      </c>
      <c r="H378" s="72" t="s">
        <v>7</v>
      </c>
      <c r="I378" s="72" t="s">
        <v>110</v>
      </c>
      <c r="J378" s="72" t="s">
        <v>119</v>
      </c>
      <c r="K378" s="72" t="s">
        <v>112</v>
      </c>
      <c r="L378" s="93" t="s">
        <v>113</v>
      </c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>
      <c r="A379" s="72">
        <v>2025.0</v>
      </c>
      <c r="B379" s="72">
        <v>8.0</v>
      </c>
      <c r="C379" s="72">
        <v>26.0</v>
      </c>
      <c r="D379" s="72" t="s">
        <v>32</v>
      </c>
      <c r="E379" s="92">
        <v>20400.0</v>
      </c>
      <c r="F379" s="72">
        <v>6.0</v>
      </c>
      <c r="G379" s="92">
        <v>122400.0</v>
      </c>
      <c r="H379" s="72" t="s">
        <v>7</v>
      </c>
      <c r="I379" s="72" t="s">
        <v>110</v>
      </c>
      <c r="J379" s="72" t="s">
        <v>119</v>
      </c>
      <c r="K379" s="72" t="s">
        <v>112</v>
      </c>
      <c r="L379" s="93" t="s">
        <v>113</v>
      </c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>
      <c r="A380" s="72">
        <v>2025.0</v>
      </c>
      <c r="B380" s="72">
        <v>8.0</v>
      </c>
      <c r="C380" s="72">
        <v>26.0</v>
      </c>
      <c r="D380" s="72" t="s">
        <v>6</v>
      </c>
      <c r="E380" s="92">
        <v>20950.0</v>
      </c>
      <c r="F380" s="72">
        <v>5.0</v>
      </c>
      <c r="G380" s="92">
        <v>104750.0</v>
      </c>
      <c r="H380" s="72" t="s">
        <v>7</v>
      </c>
      <c r="I380" s="72" t="s">
        <v>110</v>
      </c>
      <c r="J380" s="72" t="s">
        <v>119</v>
      </c>
      <c r="K380" s="72" t="s">
        <v>112</v>
      </c>
      <c r="L380" s="93" t="s">
        <v>113</v>
      </c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>
      <c r="A381" s="72">
        <v>2025.0</v>
      </c>
      <c r="B381" s="72">
        <v>8.0</v>
      </c>
      <c r="C381" s="72">
        <v>26.0</v>
      </c>
      <c r="D381" s="72" t="s">
        <v>26</v>
      </c>
      <c r="E381" s="92">
        <v>21265.0</v>
      </c>
      <c r="F381" s="72">
        <v>10.0</v>
      </c>
      <c r="G381" s="92">
        <v>212650.0</v>
      </c>
      <c r="H381" s="72" t="s">
        <v>7</v>
      </c>
      <c r="I381" s="72" t="s">
        <v>110</v>
      </c>
      <c r="J381" s="72" t="s">
        <v>119</v>
      </c>
      <c r="K381" s="72" t="s">
        <v>112</v>
      </c>
      <c r="L381" s="93" t="s">
        <v>113</v>
      </c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>
      <c r="A382" s="72">
        <v>2025.0</v>
      </c>
      <c r="B382" s="72">
        <v>8.0</v>
      </c>
      <c r="C382" s="72">
        <v>26.0</v>
      </c>
      <c r="D382" s="72" t="s">
        <v>14</v>
      </c>
      <c r="E382" s="92">
        <v>11775.0</v>
      </c>
      <c r="F382" s="72">
        <v>10.0</v>
      </c>
      <c r="G382" s="92">
        <v>117750.0</v>
      </c>
      <c r="H382" s="72" t="s">
        <v>7</v>
      </c>
      <c r="I382" s="72" t="s">
        <v>110</v>
      </c>
      <c r="J382" s="72" t="s">
        <v>119</v>
      </c>
      <c r="K382" s="72" t="s">
        <v>112</v>
      </c>
      <c r="L382" s="93" t="s">
        <v>113</v>
      </c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>
      <c r="A383" s="72">
        <v>2025.0</v>
      </c>
      <c r="B383" s="72">
        <v>8.0</v>
      </c>
      <c r="C383" s="72">
        <v>26.0</v>
      </c>
      <c r="D383" s="72" t="s">
        <v>53</v>
      </c>
      <c r="E383" s="92">
        <v>15155.0</v>
      </c>
      <c r="F383" s="72">
        <v>10.0</v>
      </c>
      <c r="G383" s="92">
        <v>151550.0</v>
      </c>
      <c r="H383" s="72" t="s">
        <v>7</v>
      </c>
      <c r="I383" s="72" t="s">
        <v>110</v>
      </c>
      <c r="J383" s="72" t="s">
        <v>119</v>
      </c>
      <c r="K383" s="72" t="s">
        <v>112</v>
      </c>
      <c r="L383" s="93" t="s">
        <v>113</v>
      </c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>
      <c r="A384" s="72">
        <v>2025.0</v>
      </c>
      <c r="B384" s="72">
        <v>8.0</v>
      </c>
      <c r="C384" s="72">
        <v>26.0</v>
      </c>
      <c r="D384" s="72" t="s">
        <v>57</v>
      </c>
      <c r="E384" s="92">
        <v>16115.0</v>
      </c>
      <c r="F384" s="72">
        <v>10.0</v>
      </c>
      <c r="G384" s="92">
        <v>161150.0</v>
      </c>
      <c r="H384" s="72" t="s">
        <v>7</v>
      </c>
      <c r="I384" s="72" t="s">
        <v>110</v>
      </c>
      <c r="J384" s="72" t="s">
        <v>119</v>
      </c>
      <c r="K384" s="72" t="s">
        <v>112</v>
      </c>
      <c r="L384" s="93" t="s">
        <v>113</v>
      </c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>
      <c r="A385" s="72">
        <v>2025.0</v>
      </c>
      <c r="B385" s="72">
        <v>8.0</v>
      </c>
      <c r="C385" s="72">
        <v>26.0</v>
      </c>
      <c r="D385" s="72" t="s">
        <v>20</v>
      </c>
      <c r="E385" s="92">
        <v>12295.0</v>
      </c>
      <c r="F385" s="72">
        <v>15.0</v>
      </c>
      <c r="G385" s="92">
        <v>184425.0</v>
      </c>
      <c r="H385" s="72" t="s">
        <v>7</v>
      </c>
      <c r="I385" s="72" t="s">
        <v>110</v>
      </c>
      <c r="J385" s="72" t="s">
        <v>119</v>
      </c>
      <c r="K385" s="72" t="s">
        <v>112</v>
      </c>
      <c r="L385" s="93" t="s">
        <v>113</v>
      </c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>
      <c r="A386" s="72">
        <v>2025.0</v>
      </c>
      <c r="B386" s="72">
        <v>8.0</v>
      </c>
      <c r="C386" s="72">
        <v>26.0</v>
      </c>
      <c r="D386" s="72" t="s">
        <v>46</v>
      </c>
      <c r="E386" s="111">
        <v>575.72</v>
      </c>
      <c r="F386" s="72">
        <v>0.371308</v>
      </c>
      <c r="G386" s="111">
        <v>213.77</v>
      </c>
      <c r="H386" s="72" t="s">
        <v>12</v>
      </c>
      <c r="I386" s="72" t="s">
        <v>110</v>
      </c>
      <c r="J386" s="72" t="s">
        <v>111</v>
      </c>
      <c r="K386" s="72" t="s">
        <v>116</v>
      </c>
      <c r="L386" s="93" t="s">
        <v>113</v>
      </c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>
      <c r="A387" s="72">
        <v>2025.0</v>
      </c>
      <c r="B387" s="72">
        <v>8.0</v>
      </c>
      <c r="C387" s="72">
        <v>26.0</v>
      </c>
      <c r="D387" s="72" t="s">
        <v>43</v>
      </c>
      <c r="E387" s="111">
        <v>55.94</v>
      </c>
      <c r="F387" s="72">
        <v>3.748129</v>
      </c>
      <c r="G387" s="111">
        <v>209.67</v>
      </c>
      <c r="H387" s="72" t="s">
        <v>12</v>
      </c>
      <c r="I387" s="72" t="s">
        <v>110</v>
      </c>
      <c r="J387" s="72" t="s">
        <v>111</v>
      </c>
      <c r="K387" s="72" t="s">
        <v>116</v>
      </c>
      <c r="L387" s="93" t="s">
        <v>113</v>
      </c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>
      <c r="A388" s="72">
        <v>2025.0</v>
      </c>
      <c r="B388" s="72">
        <v>8.0</v>
      </c>
      <c r="C388" s="72">
        <v>26.0</v>
      </c>
      <c r="D388" s="72" t="s">
        <v>11</v>
      </c>
      <c r="E388" s="111">
        <v>283.7</v>
      </c>
      <c r="F388" s="72">
        <v>0.756818</v>
      </c>
      <c r="G388" s="111">
        <v>214.71</v>
      </c>
      <c r="H388" s="72" t="s">
        <v>12</v>
      </c>
      <c r="I388" s="72" t="s">
        <v>110</v>
      </c>
      <c r="J388" s="72" t="s">
        <v>111</v>
      </c>
      <c r="K388" s="72" t="s">
        <v>116</v>
      </c>
      <c r="L388" s="93" t="s">
        <v>113</v>
      </c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>
      <c r="A389" s="72">
        <v>2025.0</v>
      </c>
      <c r="B389" s="72">
        <v>8.0</v>
      </c>
      <c r="C389" s="72">
        <v>26.0</v>
      </c>
      <c r="D389" s="72" t="s">
        <v>11</v>
      </c>
      <c r="E389" s="111">
        <v>283.88</v>
      </c>
      <c r="F389" s="72">
        <v>0.501443</v>
      </c>
      <c r="G389" s="111">
        <v>142.35</v>
      </c>
      <c r="H389" s="72" t="s">
        <v>12</v>
      </c>
      <c r="I389" s="72" t="s">
        <v>110</v>
      </c>
      <c r="J389" s="72" t="s">
        <v>111</v>
      </c>
      <c r="K389" s="72" t="s">
        <v>116</v>
      </c>
      <c r="L389" s="93" t="s">
        <v>113</v>
      </c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>
      <c r="A390" s="72">
        <v>2025.0</v>
      </c>
      <c r="B390" s="72">
        <v>8.0</v>
      </c>
      <c r="C390" s="72">
        <v>26.0</v>
      </c>
      <c r="D390" s="72" t="s">
        <v>43</v>
      </c>
      <c r="E390" s="111">
        <v>58.19</v>
      </c>
      <c r="F390" s="72">
        <v>2.453192</v>
      </c>
      <c r="G390" s="111">
        <v>142.75</v>
      </c>
      <c r="H390" s="72" t="s">
        <v>12</v>
      </c>
      <c r="I390" s="72" t="s">
        <v>110</v>
      </c>
      <c r="J390" s="72" t="s">
        <v>111</v>
      </c>
      <c r="K390" s="72" t="s">
        <v>116</v>
      </c>
      <c r="L390" s="93" t="s">
        <v>113</v>
      </c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>
      <c r="A391" s="72">
        <v>2025.0</v>
      </c>
      <c r="B391" s="72">
        <v>9.0</v>
      </c>
      <c r="C391" s="72">
        <v>2.0</v>
      </c>
      <c r="D391" s="72" t="s">
        <v>50</v>
      </c>
      <c r="E391" s="111">
        <v>137.34</v>
      </c>
      <c r="F391" s="72">
        <v>0.204894</v>
      </c>
      <c r="G391" s="111">
        <v>28.14</v>
      </c>
      <c r="H391" s="72" t="s">
        <v>12</v>
      </c>
      <c r="I391" s="72" t="s">
        <v>110</v>
      </c>
      <c r="J391" s="72" t="s">
        <v>111</v>
      </c>
      <c r="K391" s="72" t="s">
        <v>116</v>
      </c>
      <c r="L391" s="93" t="s">
        <v>113</v>
      </c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>
      <c r="A392" s="72">
        <v>2025.0</v>
      </c>
      <c r="B392" s="72">
        <v>9.0</v>
      </c>
      <c r="C392" s="72">
        <v>2.0</v>
      </c>
      <c r="D392" s="72" t="s">
        <v>17</v>
      </c>
      <c r="E392" s="92">
        <v>22770.0</v>
      </c>
      <c r="F392" s="72">
        <v>9.0</v>
      </c>
      <c r="G392" s="92">
        <v>204930.0</v>
      </c>
      <c r="H392" s="72" t="s">
        <v>7</v>
      </c>
      <c r="I392" s="72" t="s">
        <v>110</v>
      </c>
      <c r="J392" s="72" t="s">
        <v>119</v>
      </c>
      <c r="K392" s="72" t="s">
        <v>112</v>
      </c>
      <c r="L392" s="93" t="s">
        <v>113</v>
      </c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>
      <c r="A393" s="72">
        <v>2025.0</v>
      </c>
      <c r="B393" s="72">
        <v>9.0</v>
      </c>
      <c r="C393" s="72">
        <v>11.0</v>
      </c>
      <c r="D393" s="72" t="s">
        <v>53</v>
      </c>
      <c r="E393" s="92">
        <v>15455.0</v>
      </c>
      <c r="F393" s="72">
        <v>10.0</v>
      </c>
      <c r="G393" s="92">
        <v>154550.0</v>
      </c>
      <c r="H393" s="72" t="s">
        <v>7</v>
      </c>
      <c r="I393" s="72" t="s">
        <v>110</v>
      </c>
      <c r="J393" s="72" t="s">
        <v>119</v>
      </c>
      <c r="K393" s="72" t="s">
        <v>112</v>
      </c>
      <c r="L393" s="93" t="s">
        <v>113</v>
      </c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>
      <c r="A394" s="72">
        <v>2025.0</v>
      </c>
      <c r="B394" s="72">
        <v>9.0</v>
      </c>
      <c r="C394" s="72">
        <v>16.0</v>
      </c>
      <c r="D394" s="72" t="s">
        <v>20</v>
      </c>
      <c r="E394" s="92">
        <v>12010.0</v>
      </c>
      <c r="F394" s="72">
        <v>10.0</v>
      </c>
      <c r="G394" s="92">
        <v>120100.0</v>
      </c>
      <c r="H394" s="72" t="s">
        <v>7</v>
      </c>
      <c r="I394" s="72" t="s">
        <v>110</v>
      </c>
      <c r="J394" s="72" t="s">
        <v>119</v>
      </c>
      <c r="K394" s="72" t="s">
        <v>112</v>
      </c>
      <c r="L394" s="93" t="s">
        <v>113</v>
      </c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>
      <c r="A395" s="72">
        <v>2025.0</v>
      </c>
      <c r="B395" s="72">
        <v>9.0</v>
      </c>
      <c r="C395" s="72">
        <v>16.0</v>
      </c>
      <c r="D395" s="72" t="s">
        <v>14</v>
      </c>
      <c r="E395" s="92">
        <v>11755.0</v>
      </c>
      <c r="F395" s="72">
        <v>10.0</v>
      </c>
      <c r="G395" s="92">
        <v>117550.0</v>
      </c>
      <c r="H395" s="72" t="s">
        <v>7</v>
      </c>
      <c r="I395" s="72" t="s">
        <v>110</v>
      </c>
      <c r="J395" s="72" t="s">
        <v>119</v>
      </c>
      <c r="K395" s="72" t="s">
        <v>112</v>
      </c>
      <c r="L395" s="93" t="s">
        <v>113</v>
      </c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>
      <c r="A396" s="72">
        <v>2025.0</v>
      </c>
      <c r="B396" s="72">
        <v>9.0</v>
      </c>
      <c r="C396" s="72">
        <v>16.0</v>
      </c>
      <c r="D396" s="72" t="s">
        <v>57</v>
      </c>
      <c r="E396" s="92">
        <v>17330.0</v>
      </c>
      <c r="F396" s="72">
        <v>10.0</v>
      </c>
      <c r="G396" s="92">
        <v>173300.0</v>
      </c>
      <c r="H396" s="72" t="s">
        <v>7</v>
      </c>
      <c r="I396" s="72" t="s">
        <v>110</v>
      </c>
      <c r="J396" s="72" t="s">
        <v>119</v>
      </c>
      <c r="K396" s="72" t="s">
        <v>112</v>
      </c>
      <c r="L396" s="93" t="s">
        <v>113</v>
      </c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>
      <c r="A397" s="72">
        <v>2025.0</v>
      </c>
      <c r="B397" s="72">
        <v>9.0</v>
      </c>
      <c r="C397" s="72">
        <v>16.0</v>
      </c>
      <c r="D397" s="72" t="s">
        <v>6</v>
      </c>
      <c r="E397" s="92">
        <v>22010.0</v>
      </c>
      <c r="F397" s="72">
        <v>5.0</v>
      </c>
      <c r="G397" s="92">
        <v>110050.0</v>
      </c>
      <c r="H397" s="72" t="s">
        <v>7</v>
      </c>
      <c r="I397" s="72" t="s">
        <v>110</v>
      </c>
      <c r="J397" s="72" t="s">
        <v>119</v>
      </c>
      <c r="K397" s="72" t="s">
        <v>112</v>
      </c>
      <c r="L397" s="93" t="s">
        <v>113</v>
      </c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>
      <c r="A398" s="72">
        <v>2025.0</v>
      </c>
      <c r="B398" s="72">
        <v>9.0</v>
      </c>
      <c r="C398" s="72">
        <v>16.0</v>
      </c>
      <c r="D398" s="72" t="s">
        <v>29</v>
      </c>
      <c r="E398" s="92">
        <v>12710.0</v>
      </c>
      <c r="F398" s="72">
        <v>10.0</v>
      </c>
      <c r="G398" s="92">
        <v>127100.0</v>
      </c>
      <c r="H398" s="72" t="s">
        <v>7</v>
      </c>
      <c r="I398" s="72" t="s">
        <v>110</v>
      </c>
      <c r="J398" s="72" t="s">
        <v>119</v>
      </c>
      <c r="K398" s="72" t="s">
        <v>112</v>
      </c>
      <c r="L398" s="93" t="s">
        <v>113</v>
      </c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>
      <c r="A399" s="72">
        <v>2025.0</v>
      </c>
      <c r="B399" s="72">
        <v>9.0</v>
      </c>
      <c r="C399" s="72">
        <v>16.0</v>
      </c>
      <c r="D399" s="72" t="s">
        <v>23</v>
      </c>
      <c r="E399" s="92">
        <v>25690.0</v>
      </c>
      <c r="F399" s="72">
        <v>8.0</v>
      </c>
      <c r="G399" s="92">
        <v>205520.0</v>
      </c>
      <c r="H399" s="72" t="s">
        <v>7</v>
      </c>
      <c r="I399" s="72" t="s">
        <v>110</v>
      </c>
      <c r="J399" s="72" t="s">
        <v>119</v>
      </c>
      <c r="K399" s="72" t="s">
        <v>112</v>
      </c>
      <c r="L399" s="93" t="s">
        <v>113</v>
      </c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>
      <c r="A400" s="72">
        <v>2025.0</v>
      </c>
      <c r="B400" s="72">
        <v>9.0</v>
      </c>
      <c r="C400" s="72">
        <v>16.0</v>
      </c>
      <c r="D400" s="72" t="s">
        <v>17</v>
      </c>
      <c r="E400" s="92">
        <v>22810.0</v>
      </c>
      <c r="F400" s="72">
        <v>5.0</v>
      </c>
      <c r="G400" s="92">
        <v>114050.0</v>
      </c>
      <c r="H400" s="72" t="s">
        <v>7</v>
      </c>
      <c r="I400" s="72" t="s">
        <v>110</v>
      </c>
      <c r="J400" s="72" t="s">
        <v>119</v>
      </c>
      <c r="K400" s="72" t="s">
        <v>112</v>
      </c>
      <c r="L400" s="93" t="s">
        <v>113</v>
      </c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>
      <c r="A401" s="72">
        <v>2025.0</v>
      </c>
      <c r="B401" s="72">
        <v>9.0</v>
      </c>
      <c r="C401" s="72">
        <v>16.0</v>
      </c>
      <c r="D401" s="72" t="s">
        <v>32</v>
      </c>
      <c r="E401" s="92">
        <v>20940.0</v>
      </c>
      <c r="F401" s="72">
        <v>5.0</v>
      </c>
      <c r="G401" s="92">
        <v>104700.0</v>
      </c>
      <c r="H401" s="72" t="s">
        <v>7</v>
      </c>
      <c r="I401" s="72" t="s">
        <v>110</v>
      </c>
      <c r="J401" s="72" t="s">
        <v>119</v>
      </c>
      <c r="K401" s="72" t="s">
        <v>112</v>
      </c>
      <c r="L401" s="93" t="s">
        <v>113</v>
      </c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>
      <c r="A402" s="72">
        <v>2025.0</v>
      </c>
      <c r="B402" s="72">
        <v>9.0</v>
      </c>
      <c r="C402" s="72">
        <v>16.0</v>
      </c>
      <c r="D402" s="72" t="s">
        <v>41</v>
      </c>
      <c r="E402" s="111">
        <v>524.93</v>
      </c>
      <c r="F402" s="72">
        <v>0.013316</v>
      </c>
      <c r="G402" s="111">
        <v>6.99</v>
      </c>
      <c r="H402" s="72" t="s">
        <v>12</v>
      </c>
      <c r="I402" s="72" t="s">
        <v>110</v>
      </c>
      <c r="J402" s="72" t="s">
        <v>111</v>
      </c>
      <c r="K402" s="72" t="s">
        <v>112</v>
      </c>
      <c r="L402" s="93" t="s">
        <v>113</v>
      </c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>
      <c r="A403" s="72">
        <v>2025.0</v>
      </c>
      <c r="B403" s="72">
        <v>9.0</v>
      </c>
      <c r="C403" s="72">
        <v>16.0</v>
      </c>
      <c r="D403" s="113" t="s">
        <v>43</v>
      </c>
      <c r="E403" s="115">
        <v>59.15</v>
      </c>
      <c r="F403" s="113">
        <v>3.0</v>
      </c>
      <c r="G403" s="115">
        <v>177.45</v>
      </c>
      <c r="H403" s="113" t="s">
        <v>12</v>
      </c>
      <c r="I403" s="113" t="s">
        <v>110</v>
      </c>
      <c r="J403" s="113" t="s">
        <v>111</v>
      </c>
      <c r="K403" s="113" t="s">
        <v>112</v>
      </c>
      <c r="L403" s="93" t="s">
        <v>113</v>
      </c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>
      <c r="A404" s="72">
        <v>2025.0</v>
      </c>
      <c r="B404" s="72">
        <v>9.0</v>
      </c>
      <c r="C404" s="72">
        <v>16.0</v>
      </c>
      <c r="D404" s="113" t="s">
        <v>46</v>
      </c>
      <c r="E404" s="115">
        <v>618.3</v>
      </c>
      <c r="F404" s="113">
        <v>1.0</v>
      </c>
      <c r="G404" s="115">
        <v>618.3</v>
      </c>
      <c r="H404" s="113" t="s">
        <v>12</v>
      </c>
      <c r="I404" s="113" t="s">
        <v>110</v>
      </c>
      <c r="J404" s="113" t="s">
        <v>111</v>
      </c>
      <c r="K404" s="113" t="s">
        <v>112</v>
      </c>
      <c r="L404" s="93" t="s">
        <v>113</v>
      </c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>
      <c r="A405" s="72">
        <v>2025.0</v>
      </c>
      <c r="B405" s="72">
        <v>10.0</v>
      </c>
      <c r="C405" s="72">
        <v>3.0</v>
      </c>
      <c r="D405" s="113" t="s">
        <v>55</v>
      </c>
      <c r="E405" s="115">
        <v>181.3</v>
      </c>
      <c r="F405" s="113">
        <v>2.0</v>
      </c>
      <c r="G405" s="115">
        <v>362.6</v>
      </c>
      <c r="H405" s="113" t="s">
        <v>12</v>
      </c>
      <c r="I405" s="113" t="s">
        <v>110</v>
      </c>
      <c r="J405" s="113" t="s">
        <v>111</v>
      </c>
      <c r="K405" s="113" t="s">
        <v>112</v>
      </c>
      <c r="L405" s="93" t="s">
        <v>113</v>
      </c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>
      <c r="A406" s="72">
        <v>2025.0</v>
      </c>
      <c r="B406" s="72">
        <v>10.0</v>
      </c>
      <c r="C406" s="72">
        <v>7.0</v>
      </c>
      <c r="D406" s="113" t="s">
        <v>11</v>
      </c>
      <c r="E406" s="115">
        <v>345.75</v>
      </c>
      <c r="F406" s="113">
        <v>0.518925</v>
      </c>
      <c r="G406" s="115">
        <v>179.42</v>
      </c>
      <c r="H406" s="113" t="s">
        <v>12</v>
      </c>
      <c r="I406" s="113" t="s">
        <v>110</v>
      </c>
      <c r="J406" s="113" t="s">
        <v>111</v>
      </c>
      <c r="K406" s="113" t="s">
        <v>116</v>
      </c>
      <c r="L406" s="93" t="s">
        <v>113</v>
      </c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>
      <c r="A407" s="113">
        <v>2025.0</v>
      </c>
      <c r="B407" s="113">
        <v>10.0</v>
      </c>
      <c r="C407" s="113">
        <v>9.0</v>
      </c>
      <c r="D407" s="72" t="s">
        <v>55</v>
      </c>
      <c r="E407" s="111">
        <v>178.04</v>
      </c>
      <c r="F407" s="72">
        <v>0.097097</v>
      </c>
      <c r="G407" s="111">
        <v>17.29</v>
      </c>
      <c r="H407" s="72" t="s">
        <v>12</v>
      </c>
      <c r="I407" s="72" t="s">
        <v>110</v>
      </c>
      <c r="J407" s="72" t="s">
        <v>111</v>
      </c>
      <c r="K407" s="72" t="s">
        <v>116</v>
      </c>
      <c r="L407" s="93" t="s">
        <v>113</v>
      </c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>
      <c r="A408" s="113">
        <v>2025.0</v>
      </c>
      <c r="B408" s="113">
        <v>10.0</v>
      </c>
      <c r="C408" s="113">
        <v>9.0</v>
      </c>
      <c r="D408" s="72" t="s">
        <v>41</v>
      </c>
      <c r="E408" s="111">
        <v>498.83</v>
      </c>
      <c r="F408" s="72">
        <v>0.058596</v>
      </c>
      <c r="G408" s="111">
        <v>29.23</v>
      </c>
      <c r="H408" s="72" t="s">
        <v>12</v>
      </c>
      <c r="I408" s="72" t="s">
        <v>110</v>
      </c>
      <c r="J408" s="72" t="s">
        <v>111</v>
      </c>
      <c r="K408" s="72" t="s">
        <v>112</v>
      </c>
      <c r="L408" s="93" t="s">
        <v>113</v>
      </c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>
      <c r="A409" s="113">
        <v>2025.0</v>
      </c>
      <c r="B409" s="113">
        <v>10.0</v>
      </c>
      <c r="C409" s="113">
        <v>9.0</v>
      </c>
      <c r="D409" s="116" t="s">
        <v>67</v>
      </c>
      <c r="E409" s="123">
        <v>106.72</v>
      </c>
      <c r="F409" s="116">
        <v>2.0</v>
      </c>
      <c r="G409" s="123">
        <v>213.44</v>
      </c>
      <c r="H409" s="116" t="s">
        <v>12</v>
      </c>
      <c r="I409" s="116" t="s">
        <v>110</v>
      </c>
      <c r="J409" s="116" t="s">
        <v>111</v>
      </c>
      <c r="K409" s="116" t="s">
        <v>121</v>
      </c>
      <c r="L409" s="119" t="s">
        <v>113</v>
      </c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>
      <c r="A410" s="113">
        <v>2025.0</v>
      </c>
      <c r="B410" s="113">
        <v>10.0</v>
      </c>
      <c r="C410" s="113">
        <v>9.0</v>
      </c>
      <c r="D410" s="72" t="s">
        <v>34</v>
      </c>
      <c r="E410" s="92">
        <v>17800.0</v>
      </c>
      <c r="F410" s="72">
        <v>80.0</v>
      </c>
      <c r="G410" s="92">
        <v>1424000.0</v>
      </c>
      <c r="H410" s="72" t="s">
        <v>7</v>
      </c>
      <c r="I410" s="72" t="s">
        <v>110</v>
      </c>
      <c r="J410" s="72" t="s">
        <v>123</v>
      </c>
      <c r="K410" s="72" t="s">
        <v>112</v>
      </c>
      <c r="L410" s="93" t="s">
        <v>113</v>
      </c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>
      <c r="A411" s="72">
        <v>2025.0</v>
      </c>
      <c r="B411" s="72">
        <v>10.0</v>
      </c>
      <c r="C411" s="72">
        <v>13.0</v>
      </c>
      <c r="D411" s="72" t="s">
        <v>34</v>
      </c>
      <c r="E411" s="92">
        <v>17830.0</v>
      </c>
      <c r="F411" s="72">
        <v>80.0</v>
      </c>
      <c r="G411" s="92">
        <v>1426400.0</v>
      </c>
      <c r="H411" s="72" t="s">
        <v>7</v>
      </c>
      <c r="I411" s="72" t="s">
        <v>110</v>
      </c>
      <c r="J411" s="72" t="s">
        <v>123</v>
      </c>
      <c r="K411" s="72" t="s">
        <v>112</v>
      </c>
      <c r="L411" s="93" t="s">
        <v>113</v>
      </c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>
      <c r="A412" s="72">
        <v>2025.0</v>
      </c>
      <c r="B412" s="72">
        <v>10.0</v>
      </c>
      <c r="C412" s="72">
        <v>13.0</v>
      </c>
      <c r="D412" s="72" t="s">
        <v>23</v>
      </c>
      <c r="E412" s="92">
        <v>26767.0</v>
      </c>
      <c r="F412" s="72">
        <v>60.0</v>
      </c>
      <c r="G412" s="92">
        <v>1606050.0</v>
      </c>
      <c r="H412" s="72" t="s">
        <v>7</v>
      </c>
      <c r="I412" s="72" t="s">
        <v>110</v>
      </c>
      <c r="J412" s="72" t="s">
        <v>123</v>
      </c>
      <c r="K412" s="72" t="s">
        <v>112</v>
      </c>
      <c r="L412" s="93" t="s">
        <v>113</v>
      </c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>
      <c r="A413" s="72">
        <v>2025.0</v>
      </c>
      <c r="B413" s="72">
        <v>10.0</v>
      </c>
      <c r="C413" s="72">
        <v>13.0</v>
      </c>
      <c r="D413" s="72" t="s">
        <v>32</v>
      </c>
      <c r="E413" s="92">
        <v>21580.0</v>
      </c>
      <c r="F413" s="72">
        <v>80.0</v>
      </c>
      <c r="G413" s="92">
        <v>1726400.0</v>
      </c>
      <c r="H413" s="72" t="s">
        <v>7</v>
      </c>
      <c r="I413" s="72" t="s">
        <v>110</v>
      </c>
      <c r="J413" s="72" t="s">
        <v>123</v>
      </c>
      <c r="K413" s="72" t="s">
        <v>112</v>
      </c>
      <c r="L413" s="93" t="s">
        <v>113</v>
      </c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>
      <c r="A414" s="72">
        <v>2025.0</v>
      </c>
      <c r="B414" s="72">
        <v>10.0</v>
      </c>
      <c r="C414" s="72">
        <v>13.0</v>
      </c>
      <c r="D414" s="72" t="s">
        <v>14</v>
      </c>
      <c r="E414" s="92">
        <v>12150.0</v>
      </c>
      <c r="F414" s="72">
        <v>18.0</v>
      </c>
      <c r="G414" s="92">
        <v>218700.0</v>
      </c>
      <c r="H414" s="72" t="s">
        <v>7</v>
      </c>
      <c r="I414" s="72" t="s">
        <v>110</v>
      </c>
      <c r="J414" s="72" t="s">
        <v>119</v>
      </c>
      <c r="K414" s="72" t="s">
        <v>112</v>
      </c>
      <c r="L414" s="93" t="s">
        <v>113</v>
      </c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>
      <c r="A415" s="72">
        <v>2025.0</v>
      </c>
      <c r="B415" s="72">
        <v>10.0</v>
      </c>
      <c r="C415" s="72">
        <v>13.0</v>
      </c>
      <c r="D415" s="72" t="s">
        <v>26</v>
      </c>
      <c r="E415" s="92">
        <v>28940.0</v>
      </c>
      <c r="F415" s="72">
        <v>8.0</v>
      </c>
      <c r="G415" s="92">
        <v>231520.0</v>
      </c>
      <c r="H415" s="72" t="s">
        <v>7</v>
      </c>
      <c r="I415" s="72" t="s">
        <v>110</v>
      </c>
      <c r="J415" s="72" t="s">
        <v>119</v>
      </c>
      <c r="K415" s="72" t="s">
        <v>112</v>
      </c>
      <c r="L415" s="93" t="s">
        <v>113</v>
      </c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>
      <c r="A416" s="72">
        <v>2025.0</v>
      </c>
      <c r="B416" s="72">
        <v>10.0</v>
      </c>
      <c r="C416" s="72">
        <v>13.0</v>
      </c>
      <c r="D416" s="72" t="s">
        <v>29</v>
      </c>
      <c r="E416" s="92">
        <v>13080.0</v>
      </c>
      <c r="F416" s="72">
        <v>15.0</v>
      </c>
      <c r="G416" s="92">
        <v>196200.0</v>
      </c>
      <c r="H416" s="72" t="s">
        <v>7</v>
      </c>
      <c r="I416" s="72" t="s">
        <v>110</v>
      </c>
      <c r="J416" s="72" t="s">
        <v>119</v>
      </c>
      <c r="K416" s="72" t="s">
        <v>112</v>
      </c>
      <c r="L416" s="93" t="s">
        <v>113</v>
      </c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>
      <c r="A417" s="72">
        <v>2025.0</v>
      </c>
      <c r="B417" s="72">
        <v>10.0</v>
      </c>
      <c r="C417" s="72">
        <v>13.0</v>
      </c>
      <c r="D417" s="72" t="s">
        <v>57</v>
      </c>
      <c r="E417" s="92">
        <v>19350.0</v>
      </c>
      <c r="F417" s="72">
        <v>10.0</v>
      </c>
      <c r="G417" s="92">
        <v>193500.0</v>
      </c>
      <c r="H417" s="72" t="s">
        <v>7</v>
      </c>
      <c r="I417" s="72" t="s">
        <v>110</v>
      </c>
      <c r="J417" s="72" t="s">
        <v>119</v>
      </c>
      <c r="K417" s="72" t="s">
        <v>112</v>
      </c>
      <c r="L417" s="93" t="s">
        <v>113</v>
      </c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>
      <c r="A418" s="72">
        <v>2025.0</v>
      </c>
      <c r="B418" s="72">
        <v>10.0</v>
      </c>
      <c r="C418" s="72">
        <v>13.0</v>
      </c>
      <c r="D418" s="72" t="s">
        <v>32</v>
      </c>
      <c r="E418" s="92">
        <v>21610.0</v>
      </c>
      <c r="F418" s="72">
        <v>10.0</v>
      </c>
      <c r="G418" s="92">
        <v>216100.0</v>
      </c>
      <c r="H418" s="72" t="s">
        <v>7</v>
      </c>
      <c r="I418" s="72" t="s">
        <v>110</v>
      </c>
      <c r="J418" s="72" t="s">
        <v>119</v>
      </c>
      <c r="K418" s="72" t="s">
        <v>112</v>
      </c>
      <c r="L418" s="93" t="s">
        <v>113</v>
      </c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>
      <c r="A419" s="72">
        <v>2025.0</v>
      </c>
      <c r="B419" s="72">
        <v>10.0</v>
      </c>
      <c r="C419" s="72">
        <v>13.0</v>
      </c>
      <c r="D419" s="72" t="s">
        <v>17</v>
      </c>
      <c r="E419" s="92">
        <v>23530.0</v>
      </c>
      <c r="F419" s="72">
        <v>8.0</v>
      </c>
      <c r="G419" s="92">
        <v>188240.0</v>
      </c>
      <c r="H419" s="72" t="s">
        <v>7</v>
      </c>
      <c r="I419" s="72" t="s">
        <v>110</v>
      </c>
      <c r="J419" s="72" t="s">
        <v>119</v>
      </c>
      <c r="K419" s="72" t="s">
        <v>112</v>
      </c>
      <c r="L419" s="93" t="s">
        <v>113</v>
      </c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>
      <c r="A420" s="72">
        <v>2025.0</v>
      </c>
      <c r="B420" s="72">
        <v>10.0</v>
      </c>
      <c r="C420" s="72">
        <v>13.0</v>
      </c>
      <c r="D420" s="72" t="s">
        <v>23</v>
      </c>
      <c r="E420" s="92">
        <v>26800.0</v>
      </c>
      <c r="F420" s="72">
        <v>8.0</v>
      </c>
      <c r="G420" s="92">
        <v>214400.0</v>
      </c>
      <c r="H420" s="72" t="s">
        <v>7</v>
      </c>
      <c r="I420" s="72" t="s">
        <v>110</v>
      </c>
      <c r="J420" s="72" t="s">
        <v>119</v>
      </c>
      <c r="K420" s="72" t="s">
        <v>112</v>
      </c>
      <c r="L420" s="93" t="s">
        <v>113</v>
      </c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>
      <c r="A421" s="72">
        <v>2025.0</v>
      </c>
      <c r="B421" s="72">
        <v>10.0</v>
      </c>
      <c r="C421" s="72">
        <v>13.0</v>
      </c>
      <c r="D421" s="72" t="s">
        <v>34</v>
      </c>
      <c r="E421" s="92">
        <v>17800.0</v>
      </c>
      <c r="F421" s="72">
        <v>8.0</v>
      </c>
      <c r="G421" s="92">
        <v>142400.0</v>
      </c>
      <c r="H421" s="72" t="s">
        <v>7</v>
      </c>
      <c r="I421" s="72" t="s">
        <v>110</v>
      </c>
      <c r="J421" s="72" t="s">
        <v>119</v>
      </c>
      <c r="K421" s="72" t="s">
        <v>112</v>
      </c>
      <c r="L421" s="93" t="s">
        <v>113</v>
      </c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>
      <c r="A422" s="72">
        <v>2025.0</v>
      </c>
      <c r="B422" s="72">
        <v>10.0</v>
      </c>
      <c r="C422" s="72">
        <v>13.0</v>
      </c>
      <c r="D422" s="72" t="s">
        <v>23</v>
      </c>
      <c r="E422" s="92">
        <v>26755.0</v>
      </c>
      <c r="F422" s="72">
        <v>30.0</v>
      </c>
      <c r="G422" s="92">
        <v>802650.0</v>
      </c>
      <c r="H422" s="72" t="s">
        <v>7</v>
      </c>
      <c r="I422" s="72" t="s">
        <v>110</v>
      </c>
      <c r="J422" s="72" t="s">
        <v>123</v>
      </c>
      <c r="K422" s="72" t="s">
        <v>112</v>
      </c>
      <c r="L422" s="93" t="s">
        <v>113</v>
      </c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>
      <c r="A423" s="72">
        <v>2025.0</v>
      </c>
      <c r="B423" s="72">
        <v>10.0</v>
      </c>
      <c r="C423" s="72">
        <v>14.0</v>
      </c>
      <c r="D423" s="72" t="s">
        <v>6</v>
      </c>
      <c r="E423" s="92">
        <v>24675.0</v>
      </c>
      <c r="F423" s="72">
        <v>8.0</v>
      </c>
      <c r="G423" s="92">
        <v>197400.0</v>
      </c>
      <c r="H423" s="72" t="s">
        <v>7</v>
      </c>
      <c r="I423" s="72" t="s">
        <v>110</v>
      </c>
      <c r="J423" s="72" t="s">
        <v>119</v>
      </c>
      <c r="K423" s="72" t="s">
        <v>112</v>
      </c>
      <c r="L423" s="93" t="s">
        <v>113</v>
      </c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>
      <c r="A424" s="72">
        <v>2025.0</v>
      </c>
      <c r="B424" s="72">
        <v>10.0</v>
      </c>
      <c r="C424" s="72">
        <v>14.0</v>
      </c>
      <c r="D424" s="72" t="s">
        <v>41</v>
      </c>
      <c r="E424" s="111">
        <v>506.89</v>
      </c>
      <c r="F424" s="72">
        <v>0.394083</v>
      </c>
      <c r="G424" s="111">
        <v>199.76</v>
      </c>
      <c r="H424" s="72" t="s">
        <v>12</v>
      </c>
      <c r="I424" s="72" t="s">
        <v>110</v>
      </c>
      <c r="J424" s="72" t="s">
        <v>111</v>
      </c>
      <c r="K424" s="72" t="s">
        <v>116</v>
      </c>
      <c r="L424" s="93" t="s">
        <v>113</v>
      </c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>
      <c r="A425" s="72">
        <v>2025.0</v>
      </c>
      <c r="B425" s="72">
        <v>10.0</v>
      </c>
      <c r="C425" s="72">
        <v>15.0</v>
      </c>
      <c r="D425" s="72" t="s">
        <v>11</v>
      </c>
      <c r="E425" s="111">
        <v>331.65</v>
      </c>
      <c r="F425" s="72">
        <v>0.602426</v>
      </c>
      <c r="G425" s="111">
        <v>199.79</v>
      </c>
      <c r="H425" s="72" t="s">
        <v>12</v>
      </c>
      <c r="I425" s="72" t="s">
        <v>110</v>
      </c>
      <c r="J425" s="72" t="s">
        <v>111</v>
      </c>
      <c r="K425" s="72" t="s">
        <v>116</v>
      </c>
      <c r="L425" s="93" t="s">
        <v>113</v>
      </c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>
      <c r="A426" s="72">
        <v>2025.0</v>
      </c>
      <c r="B426" s="72">
        <v>10.0</v>
      </c>
      <c r="C426" s="72">
        <v>15.0</v>
      </c>
      <c r="D426" s="72" t="s">
        <v>26</v>
      </c>
      <c r="E426" s="92">
        <v>25720.0</v>
      </c>
      <c r="F426" s="72">
        <v>2.0</v>
      </c>
      <c r="G426" s="92">
        <v>51440.0</v>
      </c>
      <c r="H426" s="72" t="s">
        <v>7</v>
      </c>
      <c r="I426" s="72" t="s">
        <v>110</v>
      </c>
      <c r="J426" s="72" t="s">
        <v>119</v>
      </c>
      <c r="K426" s="72" t="s">
        <v>112</v>
      </c>
      <c r="L426" s="93" t="s">
        <v>113</v>
      </c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>
      <c r="A427" s="72">
        <v>2025.0</v>
      </c>
      <c r="B427" s="72">
        <v>10.0</v>
      </c>
      <c r="C427" s="72">
        <v>27.0</v>
      </c>
      <c r="D427" s="72" t="s">
        <v>32</v>
      </c>
      <c r="E427" s="92">
        <v>22300.0</v>
      </c>
      <c r="F427" s="72">
        <v>8.0</v>
      </c>
      <c r="G427" s="92">
        <v>178400.0</v>
      </c>
      <c r="H427" s="72" t="s">
        <v>7</v>
      </c>
      <c r="I427" s="72" t="s">
        <v>110</v>
      </c>
      <c r="J427" s="72" t="s">
        <v>123</v>
      </c>
      <c r="K427" s="72" t="s">
        <v>112</v>
      </c>
      <c r="L427" s="93" t="s">
        <v>113</v>
      </c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>
      <c r="A428" s="72">
        <v>2025.0</v>
      </c>
      <c r="B428" s="72">
        <v>10.0</v>
      </c>
      <c r="C428" s="72">
        <v>27.0</v>
      </c>
      <c r="D428" s="72" t="s">
        <v>32</v>
      </c>
      <c r="E428" s="92">
        <v>22300.0</v>
      </c>
      <c r="F428" s="72">
        <v>5.0</v>
      </c>
      <c r="G428" s="92">
        <v>111500.0</v>
      </c>
      <c r="H428" s="72" t="s">
        <v>7</v>
      </c>
      <c r="I428" s="72" t="s">
        <v>110</v>
      </c>
      <c r="J428" s="72" t="s">
        <v>123</v>
      </c>
      <c r="K428" s="72" t="s">
        <v>112</v>
      </c>
      <c r="L428" s="93" t="s">
        <v>113</v>
      </c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>
      <c r="A429" s="72">
        <v>2025.0</v>
      </c>
      <c r="B429" s="72">
        <v>10.0</v>
      </c>
      <c r="C429" s="72">
        <v>30.0</v>
      </c>
      <c r="D429" s="72" t="s">
        <v>26</v>
      </c>
      <c r="E429" s="92">
        <v>25570.0</v>
      </c>
      <c r="F429" s="72">
        <v>5.0</v>
      </c>
      <c r="G429" s="92">
        <v>127850.0</v>
      </c>
      <c r="H429" s="72" t="s">
        <v>7</v>
      </c>
      <c r="I429" s="72" t="s">
        <v>110</v>
      </c>
      <c r="J429" s="72" t="s">
        <v>123</v>
      </c>
      <c r="K429" s="72" t="s">
        <v>112</v>
      </c>
      <c r="L429" s="93" t="s">
        <v>113</v>
      </c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>
      <c r="A430" s="72">
        <v>2025.0</v>
      </c>
      <c r="B430" s="72">
        <v>10.0</v>
      </c>
      <c r="C430" s="72">
        <v>30.0</v>
      </c>
      <c r="D430" s="72" t="s">
        <v>14</v>
      </c>
      <c r="E430" s="92">
        <v>12140.0</v>
      </c>
      <c r="F430" s="72">
        <v>15.0</v>
      </c>
      <c r="G430" s="92">
        <v>182100.0</v>
      </c>
      <c r="H430" s="72" t="s">
        <v>7</v>
      </c>
      <c r="I430" s="72" t="s">
        <v>110</v>
      </c>
      <c r="J430" s="72" t="s">
        <v>123</v>
      </c>
      <c r="K430" s="72" t="s">
        <v>112</v>
      </c>
      <c r="L430" s="93" t="s">
        <v>113</v>
      </c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>
      <c r="A431" s="72">
        <v>2025.0</v>
      </c>
      <c r="B431" s="72">
        <v>10.0</v>
      </c>
      <c r="C431" s="72">
        <v>30.0</v>
      </c>
      <c r="D431" s="72" t="s">
        <v>57</v>
      </c>
      <c r="E431" s="92">
        <v>20045.0</v>
      </c>
      <c r="F431" s="72">
        <v>8.0</v>
      </c>
      <c r="G431" s="92">
        <v>160360.0</v>
      </c>
      <c r="H431" s="72" t="s">
        <v>7</v>
      </c>
      <c r="I431" s="72" t="s">
        <v>110</v>
      </c>
      <c r="J431" s="72" t="s">
        <v>123</v>
      </c>
      <c r="K431" s="72" t="s">
        <v>112</v>
      </c>
      <c r="L431" s="93" t="s">
        <v>113</v>
      </c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>
      <c r="A432" s="72">
        <v>2025.0</v>
      </c>
      <c r="B432" s="72">
        <v>10.0</v>
      </c>
      <c r="C432" s="72">
        <v>30.0</v>
      </c>
      <c r="D432" s="72" t="s">
        <v>57</v>
      </c>
      <c r="E432" s="92">
        <v>18310.0</v>
      </c>
      <c r="F432" s="72">
        <v>20.0</v>
      </c>
      <c r="G432" s="92">
        <v>366200.0</v>
      </c>
      <c r="H432" s="72" t="s">
        <v>7</v>
      </c>
      <c r="I432" s="72" t="s">
        <v>110</v>
      </c>
      <c r="J432" s="72" t="s">
        <v>111</v>
      </c>
      <c r="K432" s="72" t="s">
        <v>116</v>
      </c>
      <c r="L432" s="93" t="s">
        <v>113</v>
      </c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>
      <c r="A433" s="72">
        <v>2025.0</v>
      </c>
      <c r="B433" s="72">
        <v>10.0</v>
      </c>
      <c r="C433" s="72">
        <v>30.0</v>
      </c>
      <c r="D433" s="72" t="s">
        <v>34</v>
      </c>
      <c r="E433" s="92">
        <v>19215.0</v>
      </c>
      <c r="F433" s="72">
        <v>20.0</v>
      </c>
      <c r="G433" s="92">
        <v>384300.0</v>
      </c>
      <c r="H433" s="72" t="s">
        <v>7</v>
      </c>
      <c r="I433" s="72" t="s">
        <v>110</v>
      </c>
      <c r="J433" s="72" t="s">
        <v>111</v>
      </c>
      <c r="K433" s="72" t="s">
        <v>116</v>
      </c>
      <c r="L433" s="93" t="s">
        <v>113</v>
      </c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>
      <c r="A434" s="72">
        <v>2025.0</v>
      </c>
      <c r="B434" s="72">
        <v>10.0</v>
      </c>
      <c r="C434" s="72">
        <v>30.0</v>
      </c>
      <c r="D434" s="72" t="s">
        <v>57</v>
      </c>
      <c r="E434" s="92">
        <v>19815.0</v>
      </c>
      <c r="F434" s="72">
        <v>50.0</v>
      </c>
      <c r="G434" s="92">
        <v>990750.0</v>
      </c>
      <c r="H434" s="72" t="s">
        <v>7</v>
      </c>
      <c r="I434" s="72" t="s">
        <v>110</v>
      </c>
      <c r="J434" s="72" t="s">
        <v>111</v>
      </c>
      <c r="K434" s="72" t="s">
        <v>116</v>
      </c>
      <c r="L434" s="93" t="s">
        <v>113</v>
      </c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>
      <c r="A435" s="72">
        <v>2025.0</v>
      </c>
      <c r="B435" s="72">
        <v>10.0</v>
      </c>
      <c r="C435" s="72">
        <v>30.0</v>
      </c>
      <c r="D435" s="72" t="s">
        <v>11</v>
      </c>
      <c r="E435" s="111">
        <v>367.24</v>
      </c>
      <c r="F435" s="72">
        <v>0.378451</v>
      </c>
      <c r="G435" s="111">
        <v>138.98</v>
      </c>
      <c r="H435" s="72" t="s">
        <v>12</v>
      </c>
      <c r="I435" s="72" t="s">
        <v>110</v>
      </c>
      <c r="J435" s="72" t="s">
        <v>111</v>
      </c>
      <c r="K435" s="72" t="s">
        <v>116</v>
      </c>
      <c r="L435" s="93" t="s">
        <v>113</v>
      </c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>
      <c r="A436" s="72">
        <v>2025.0</v>
      </c>
      <c r="B436" s="72">
        <v>11.0</v>
      </c>
      <c r="C436" s="72">
        <v>3.0</v>
      </c>
      <c r="D436" s="72" t="s">
        <v>46</v>
      </c>
      <c r="E436" s="111">
        <v>629.49</v>
      </c>
      <c r="F436" s="72">
        <v>0.220056</v>
      </c>
      <c r="G436" s="111">
        <v>138.52</v>
      </c>
      <c r="H436" s="72" t="s">
        <v>12</v>
      </c>
      <c r="I436" s="72" t="s">
        <v>110</v>
      </c>
      <c r="J436" s="72" t="s">
        <v>111</v>
      </c>
      <c r="K436" s="72" t="s">
        <v>116</v>
      </c>
      <c r="L436" s="93" t="s">
        <v>113</v>
      </c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>
      <c r="A437" s="72">
        <v>2025.0</v>
      </c>
      <c r="B437" s="72">
        <v>11.0</v>
      </c>
      <c r="C437" s="72">
        <v>3.0</v>
      </c>
      <c r="D437" s="72" t="s">
        <v>43</v>
      </c>
      <c r="E437" s="111">
        <v>57.98</v>
      </c>
      <c r="F437" s="72">
        <v>2.414815</v>
      </c>
      <c r="G437" s="111">
        <v>140.01</v>
      </c>
      <c r="H437" s="72" t="s">
        <v>12</v>
      </c>
      <c r="I437" s="72" t="s">
        <v>110</v>
      </c>
      <c r="J437" s="72" t="s">
        <v>111</v>
      </c>
      <c r="K437" s="72" t="s">
        <v>116</v>
      </c>
      <c r="L437" s="93" t="s">
        <v>113</v>
      </c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>
      <c r="A438" s="72">
        <v>2025.0</v>
      </c>
      <c r="B438" s="72">
        <v>11.0</v>
      </c>
      <c r="C438" s="72">
        <v>3.0</v>
      </c>
      <c r="D438" s="72" t="s">
        <v>41</v>
      </c>
      <c r="E438" s="111">
        <v>519.29</v>
      </c>
      <c r="F438" s="72">
        <v>0.02201</v>
      </c>
      <c r="G438" s="111">
        <v>11.43</v>
      </c>
      <c r="H438" s="72" t="s">
        <v>12</v>
      </c>
      <c r="I438" s="72" t="s">
        <v>110</v>
      </c>
      <c r="J438" s="72" t="s">
        <v>111</v>
      </c>
      <c r="K438" s="72" t="s">
        <v>112</v>
      </c>
      <c r="L438" s="93" t="s">
        <v>113</v>
      </c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>
      <c r="A439" s="72">
        <v>2025.0</v>
      </c>
      <c r="B439" s="72">
        <v>11.0</v>
      </c>
      <c r="C439" s="72">
        <v>5.0</v>
      </c>
      <c r="D439" s="72" t="s">
        <v>34</v>
      </c>
      <c r="E439" s="92">
        <v>20350.0</v>
      </c>
      <c r="F439" s="72">
        <v>15.0</v>
      </c>
      <c r="G439" s="92">
        <v>305250.0</v>
      </c>
      <c r="H439" s="72" t="s">
        <v>7</v>
      </c>
      <c r="I439" s="72" t="s">
        <v>110</v>
      </c>
      <c r="J439" s="72" t="s">
        <v>123</v>
      </c>
      <c r="K439" s="72" t="s">
        <v>112</v>
      </c>
      <c r="L439" s="93" t="s">
        <v>113</v>
      </c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>
      <c r="A440" s="72">
        <v>2025.0</v>
      </c>
      <c r="B440" s="72">
        <v>11.0</v>
      </c>
      <c r="C440" s="72">
        <v>5.0</v>
      </c>
      <c r="D440" s="72" t="s">
        <v>57</v>
      </c>
      <c r="E440" s="92">
        <v>18370.0</v>
      </c>
      <c r="F440" s="72">
        <v>10.0</v>
      </c>
      <c r="G440" s="92">
        <v>183700.0</v>
      </c>
      <c r="H440" s="72" t="s">
        <v>7</v>
      </c>
      <c r="I440" s="72" t="s">
        <v>110</v>
      </c>
      <c r="J440" s="72" t="s">
        <v>123</v>
      </c>
      <c r="K440" s="72" t="s">
        <v>112</v>
      </c>
      <c r="L440" s="93" t="s">
        <v>113</v>
      </c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>
      <c r="A441" s="72">
        <v>2025.0</v>
      </c>
      <c r="B441" s="72">
        <v>11.0</v>
      </c>
      <c r="C441" s="72">
        <v>5.0</v>
      </c>
      <c r="D441" s="72" t="s">
        <v>34</v>
      </c>
      <c r="E441" s="92">
        <v>20445.0</v>
      </c>
      <c r="F441" s="72">
        <v>15.0</v>
      </c>
      <c r="G441" s="92">
        <v>306675.0</v>
      </c>
      <c r="H441" s="72" t="s">
        <v>7</v>
      </c>
      <c r="I441" s="72" t="s">
        <v>110</v>
      </c>
      <c r="J441" s="72" t="s">
        <v>111</v>
      </c>
      <c r="K441" s="72" t="s">
        <v>116</v>
      </c>
      <c r="L441" s="93" t="s">
        <v>113</v>
      </c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>
      <c r="A442" s="72">
        <v>2025.0</v>
      </c>
      <c r="B442" s="72">
        <v>11.0</v>
      </c>
      <c r="C442" s="72">
        <v>5.0</v>
      </c>
      <c r="D442" s="72" t="s">
        <v>60</v>
      </c>
      <c r="E442" s="92">
        <v>10490.0</v>
      </c>
      <c r="F442" s="72">
        <v>2.0</v>
      </c>
      <c r="G442" s="92">
        <v>20980.0</v>
      </c>
      <c r="H442" s="72" t="s">
        <v>7</v>
      </c>
      <c r="I442" s="72" t="s">
        <v>110</v>
      </c>
      <c r="J442" s="72" t="s">
        <v>111</v>
      </c>
      <c r="K442" s="72" t="s">
        <v>116</v>
      </c>
      <c r="L442" s="93" t="s">
        <v>113</v>
      </c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>
      <c r="A443" s="72">
        <v>2025.0</v>
      </c>
      <c r="B443" s="72">
        <v>11.0</v>
      </c>
      <c r="C443" s="72">
        <v>5.0</v>
      </c>
      <c r="D443" s="72" t="s">
        <v>41</v>
      </c>
      <c r="E443" s="111">
        <v>499.12</v>
      </c>
      <c r="F443" s="72">
        <v>0.012235</v>
      </c>
      <c r="G443" s="111">
        <v>6.11</v>
      </c>
      <c r="H443" s="72" t="s">
        <v>12</v>
      </c>
      <c r="I443" s="72" t="s">
        <v>110</v>
      </c>
      <c r="J443" s="72" t="s">
        <v>111</v>
      </c>
      <c r="K443" s="72" t="s">
        <v>112</v>
      </c>
      <c r="L443" s="93" t="s">
        <v>113</v>
      </c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>
      <c r="A444" s="72">
        <v>2025.0</v>
      </c>
      <c r="B444" s="72">
        <v>11.0</v>
      </c>
      <c r="C444" s="72">
        <v>14.0</v>
      </c>
      <c r="D444" s="72" t="s">
        <v>34</v>
      </c>
      <c r="E444" s="92">
        <v>20520.0</v>
      </c>
      <c r="F444" s="72">
        <v>9.0</v>
      </c>
      <c r="G444" s="92">
        <v>184680.0</v>
      </c>
      <c r="H444" s="72" t="s">
        <v>7</v>
      </c>
      <c r="I444" s="72" t="s">
        <v>110</v>
      </c>
      <c r="J444" s="72" t="s">
        <v>123</v>
      </c>
      <c r="K444" s="72" t="s">
        <v>112</v>
      </c>
      <c r="L444" s="93" t="s">
        <v>113</v>
      </c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>
      <c r="A445" s="72">
        <v>2025.0</v>
      </c>
      <c r="B445" s="72">
        <v>11.0</v>
      </c>
      <c r="C445" s="72">
        <v>14.0</v>
      </c>
      <c r="D445" s="72" t="s">
        <v>53</v>
      </c>
      <c r="E445" s="92">
        <v>16240.0</v>
      </c>
      <c r="F445" s="72">
        <v>30.0</v>
      </c>
      <c r="G445" s="92">
        <v>487200.0</v>
      </c>
      <c r="H445" s="72" t="s">
        <v>7</v>
      </c>
      <c r="I445" s="72" t="s">
        <v>110</v>
      </c>
      <c r="J445" s="72" t="s">
        <v>123</v>
      </c>
      <c r="K445" s="72" t="s">
        <v>112</v>
      </c>
      <c r="L445" s="93" t="s">
        <v>113</v>
      </c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>
      <c r="A446" s="72">
        <v>2025.0</v>
      </c>
      <c r="B446" s="72">
        <v>11.0</v>
      </c>
      <c r="C446" s="72">
        <v>14.0</v>
      </c>
      <c r="D446" s="72" t="s">
        <v>20</v>
      </c>
      <c r="E446" s="92">
        <v>12700.0</v>
      </c>
      <c r="F446" s="72">
        <v>1.0</v>
      </c>
      <c r="G446" s="92">
        <v>12700.0</v>
      </c>
      <c r="H446" s="72" t="s">
        <v>7</v>
      </c>
      <c r="I446" s="72" t="s">
        <v>110</v>
      </c>
      <c r="J446" s="72" t="s">
        <v>119</v>
      </c>
      <c r="K446" s="72" t="s">
        <v>112</v>
      </c>
      <c r="L446" s="93" t="s">
        <v>113</v>
      </c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>
      <c r="A447" s="72">
        <v>2025.0</v>
      </c>
      <c r="B447" s="72">
        <v>11.0</v>
      </c>
      <c r="C447" s="72">
        <v>14.0</v>
      </c>
      <c r="D447" s="72" t="s">
        <v>57</v>
      </c>
      <c r="E447" s="92">
        <v>17450.0</v>
      </c>
      <c r="F447" s="72">
        <v>2.0</v>
      </c>
      <c r="G447" s="92">
        <v>34900.0</v>
      </c>
      <c r="H447" s="72" t="s">
        <v>7</v>
      </c>
      <c r="I447" s="72" t="s">
        <v>110</v>
      </c>
      <c r="J447" s="72" t="s">
        <v>119</v>
      </c>
      <c r="K447" s="72" t="s">
        <v>112</v>
      </c>
      <c r="L447" s="93" t="s">
        <v>113</v>
      </c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>
      <c r="A448" s="72">
        <v>2025.0</v>
      </c>
      <c r="B448" s="72">
        <v>11.0</v>
      </c>
      <c r="C448" s="72">
        <v>21.0</v>
      </c>
      <c r="D448" s="72" t="s">
        <v>6</v>
      </c>
      <c r="E448" s="92">
        <v>24690.0</v>
      </c>
      <c r="F448" s="72">
        <v>1.0</v>
      </c>
      <c r="G448" s="92">
        <v>24690.0</v>
      </c>
      <c r="H448" s="72" t="s">
        <v>7</v>
      </c>
      <c r="I448" s="72" t="s">
        <v>110</v>
      </c>
      <c r="J448" s="72" t="s">
        <v>119</v>
      </c>
      <c r="K448" s="72" t="s">
        <v>112</v>
      </c>
      <c r="L448" s="93" t="s">
        <v>113</v>
      </c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>
      <c r="A449" s="72">
        <v>2025.0</v>
      </c>
      <c r="B449" s="72">
        <v>12.0</v>
      </c>
      <c r="C449" s="72">
        <v>1.0</v>
      </c>
      <c r="D449" s="72" t="s">
        <v>11</v>
      </c>
      <c r="E449" s="111">
        <v>348.0</v>
      </c>
      <c r="F449" s="72">
        <v>0.580124</v>
      </c>
      <c r="G449" s="111">
        <v>201.88</v>
      </c>
      <c r="H449" s="72" t="s">
        <v>12</v>
      </c>
      <c r="I449" s="72" t="s">
        <v>110</v>
      </c>
      <c r="J449" s="72" t="s">
        <v>111</v>
      </c>
      <c r="K449" s="72" t="s">
        <v>116</v>
      </c>
      <c r="L449" s="93" t="s">
        <v>113</v>
      </c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>
      <c r="A450" s="72">
        <v>2025.0</v>
      </c>
      <c r="B450" s="72">
        <v>12.0</v>
      </c>
      <c r="C450" s="72">
        <v>1.0</v>
      </c>
      <c r="D450" s="72" t="s">
        <v>43</v>
      </c>
      <c r="E450" s="111">
        <v>57.54</v>
      </c>
      <c r="F450" s="72">
        <v>2.358553</v>
      </c>
      <c r="G450" s="111">
        <v>135.71</v>
      </c>
      <c r="H450" s="72" t="s">
        <v>12</v>
      </c>
      <c r="I450" s="72" t="s">
        <v>110</v>
      </c>
      <c r="J450" s="72" t="s">
        <v>111</v>
      </c>
      <c r="K450" s="72" t="s">
        <v>116</v>
      </c>
      <c r="L450" s="93" t="s">
        <v>113</v>
      </c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>
      <c r="A451" s="72">
        <v>2025.0</v>
      </c>
      <c r="B451" s="72">
        <v>12.0</v>
      </c>
      <c r="C451" s="72">
        <v>1.0</v>
      </c>
      <c r="D451" s="72" t="s">
        <v>46</v>
      </c>
      <c r="E451" s="111">
        <v>624.56</v>
      </c>
      <c r="F451" s="72">
        <v>0.324481</v>
      </c>
      <c r="G451" s="111">
        <v>202.66</v>
      </c>
      <c r="H451" s="72" t="s">
        <v>12</v>
      </c>
      <c r="I451" s="72" t="s">
        <v>110</v>
      </c>
      <c r="J451" s="72" t="s">
        <v>111</v>
      </c>
      <c r="K451" s="72" t="s">
        <v>116</v>
      </c>
      <c r="L451" s="93" t="s">
        <v>113</v>
      </c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>
      <c r="A452" s="72">
        <v>2025.0</v>
      </c>
      <c r="B452" s="72">
        <v>12.0</v>
      </c>
      <c r="C452" s="72">
        <v>8.0</v>
      </c>
      <c r="D452" s="72" t="s">
        <v>41</v>
      </c>
      <c r="E452" s="111">
        <v>478.35</v>
      </c>
      <c r="F452" s="72">
        <v>0.103793</v>
      </c>
      <c r="G452" s="111">
        <v>49.65</v>
      </c>
      <c r="H452" s="72" t="s">
        <v>12</v>
      </c>
      <c r="I452" s="72" t="s">
        <v>110</v>
      </c>
      <c r="J452" s="72" t="s">
        <v>111</v>
      </c>
      <c r="K452" s="72" t="s">
        <v>112</v>
      </c>
      <c r="L452" s="93" t="s">
        <v>113</v>
      </c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>
      <c r="A453" s="72">
        <v>2025.0</v>
      </c>
      <c r="B453" s="72">
        <v>12.0</v>
      </c>
      <c r="C453" s="72">
        <v>11.0</v>
      </c>
      <c r="D453" s="72" t="s">
        <v>34</v>
      </c>
      <c r="E453" s="92">
        <v>20980.0</v>
      </c>
      <c r="F453" s="72">
        <v>2.0</v>
      </c>
      <c r="G453" s="92">
        <v>41960.0</v>
      </c>
      <c r="H453" s="72" t="s">
        <v>7</v>
      </c>
      <c r="I453" s="72" t="s">
        <v>110</v>
      </c>
      <c r="J453" s="72" t="s">
        <v>111</v>
      </c>
      <c r="K453" s="72" t="s">
        <v>112</v>
      </c>
      <c r="L453" s="93" t="s">
        <v>113</v>
      </c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>
      <c r="A454" s="72">
        <v>2025.0</v>
      </c>
      <c r="B454" s="72">
        <v>12.0</v>
      </c>
      <c r="C454" s="72">
        <v>11.0</v>
      </c>
      <c r="D454" s="72" t="s">
        <v>14</v>
      </c>
      <c r="E454" s="92">
        <v>12605.0</v>
      </c>
      <c r="F454" s="72">
        <v>1.0</v>
      </c>
      <c r="G454" s="92">
        <v>12605.0</v>
      </c>
      <c r="H454" s="72" t="s">
        <v>7</v>
      </c>
      <c r="I454" s="72" t="s">
        <v>110</v>
      </c>
      <c r="J454" s="72" t="s">
        <v>119</v>
      </c>
      <c r="K454" s="72" t="s">
        <v>112</v>
      </c>
      <c r="L454" s="93" t="s">
        <v>113</v>
      </c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>
      <c r="A455" s="72">
        <v>2025.0</v>
      </c>
      <c r="B455" s="72">
        <v>12.0</v>
      </c>
      <c r="C455" s="72">
        <v>11.0</v>
      </c>
      <c r="D455" s="72" t="s">
        <v>23</v>
      </c>
      <c r="E455" s="92">
        <v>28630.0</v>
      </c>
      <c r="F455" s="72">
        <v>2.0</v>
      </c>
      <c r="G455" s="92">
        <v>57260.0</v>
      </c>
      <c r="H455" s="72" t="s">
        <v>7</v>
      </c>
      <c r="I455" s="72" t="s">
        <v>110</v>
      </c>
      <c r="J455" s="72" t="s">
        <v>119</v>
      </c>
      <c r="K455" s="72" t="s">
        <v>112</v>
      </c>
      <c r="L455" s="93" t="s">
        <v>113</v>
      </c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>
      <c r="A456" s="72">
        <v>2025.0</v>
      </c>
      <c r="B456" s="72">
        <v>12.0</v>
      </c>
      <c r="C456" s="72">
        <v>16.0</v>
      </c>
      <c r="D456" s="72" t="s">
        <v>43</v>
      </c>
      <c r="E456" s="111">
        <v>57.77</v>
      </c>
      <c r="F456" s="72">
        <v>1.0</v>
      </c>
      <c r="G456" s="111">
        <v>57.77</v>
      </c>
      <c r="H456" s="72" t="s">
        <v>12</v>
      </c>
      <c r="I456" s="72" t="s">
        <v>110</v>
      </c>
      <c r="J456" s="72" t="s">
        <v>111</v>
      </c>
      <c r="K456" s="72" t="s">
        <v>112</v>
      </c>
      <c r="L456" s="93" t="s">
        <v>113</v>
      </c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>
      <c r="A457" s="72">
        <v>2025.0</v>
      </c>
      <c r="B457" s="72">
        <v>12.0</v>
      </c>
      <c r="C457" s="72">
        <v>16.0</v>
      </c>
      <c r="D457" s="72" t="s">
        <v>50</v>
      </c>
      <c r="E457" s="111">
        <v>154.28</v>
      </c>
      <c r="F457" s="72">
        <v>0.025475</v>
      </c>
      <c r="G457" s="111">
        <v>3.93</v>
      </c>
      <c r="H457" s="72" t="s">
        <v>12</v>
      </c>
      <c r="I457" s="72" t="s">
        <v>110</v>
      </c>
      <c r="J457" s="72" t="s">
        <v>111</v>
      </c>
      <c r="K457" s="72" t="s">
        <v>116</v>
      </c>
      <c r="L457" s="93" t="s">
        <v>113</v>
      </c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>
      <c r="A458" s="72">
        <v>2025.0</v>
      </c>
      <c r="B458" s="72">
        <v>12.0</v>
      </c>
      <c r="C458" s="72">
        <v>18.0</v>
      </c>
      <c r="D458" s="72" t="s">
        <v>34</v>
      </c>
      <c r="E458" s="92">
        <v>20330.0</v>
      </c>
      <c r="F458" s="72">
        <v>20.0</v>
      </c>
      <c r="G458" s="92">
        <v>406600.0</v>
      </c>
      <c r="H458" s="72" t="s">
        <v>7</v>
      </c>
      <c r="I458" s="72" t="s">
        <v>110</v>
      </c>
      <c r="J458" s="72" t="s">
        <v>111</v>
      </c>
      <c r="K458" s="72" t="s">
        <v>116</v>
      </c>
      <c r="L458" s="93" t="s">
        <v>113</v>
      </c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>
      <c r="A459" s="72">
        <v>2025.0</v>
      </c>
      <c r="B459" s="72">
        <v>12.0</v>
      </c>
      <c r="C459" s="72">
        <v>18.0</v>
      </c>
      <c r="D459" s="72" t="s">
        <v>23</v>
      </c>
      <c r="E459" s="92">
        <v>27810.0</v>
      </c>
      <c r="F459" s="72">
        <v>1.0</v>
      </c>
      <c r="G459" s="92">
        <v>27810.0</v>
      </c>
      <c r="H459" s="72" t="s">
        <v>7</v>
      </c>
      <c r="I459" s="72" t="s">
        <v>110</v>
      </c>
      <c r="J459" s="72" t="s">
        <v>123</v>
      </c>
      <c r="K459" s="72" t="s">
        <v>112</v>
      </c>
      <c r="L459" s="93" t="s">
        <v>113</v>
      </c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>
      <c r="A460" s="72">
        <v>2025.0</v>
      </c>
      <c r="B460" s="72">
        <v>12.0</v>
      </c>
      <c r="C460" s="72">
        <v>18.0</v>
      </c>
      <c r="D460" s="72" t="s">
        <v>53</v>
      </c>
      <c r="E460" s="92">
        <v>16275.0</v>
      </c>
      <c r="F460" s="72">
        <v>20.0</v>
      </c>
      <c r="G460" s="92">
        <v>325500.0</v>
      </c>
      <c r="H460" s="72" t="s">
        <v>7</v>
      </c>
      <c r="I460" s="72" t="s">
        <v>110</v>
      </c>
      <c r="J460" s="72" t="s">
        <v>123</v>
      </c>
      <c r="K460" s="72" t="s">
        <v>112</v>
      </c>
      <c r="L460" s="93" t="s">
        <v>113</v>
      </c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>
      <c r="A461" s="72">
        <v>2025.0</v>
      </c>
      <c r="B461" s="72">
        <v>12.0</v>
      </c>
      <c r="C461" s="72">
        <v>18.0</v>
      </c>
      <c r="D461" s="72" t="s">
        <v>14</v>
      </c>
      <c r="E461" s="92">
        <v>12660.0</v>
      </c>
      <c r="F461" s="72">
        <v>1.0</v>
      </c>
      <c r="G461" s="92">
        <v>12660.0</v>
      </c>
      <c r="H461" s="72" t="s">
        <v>7</v>
      </c>
      <c r="I461" s="72" t="s">
        <v>110</v>
      </c>
      <c r="J461" s="72" t="s">
        <v>123</v>
      </c>
      <c r="K461" s="72" t="s">
        <v>112</v>
      </c>
      <c r="L461" s="93" t="s">
        <v>113</v>
      </c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>
      <c r="A462" s="72">
        <v>2025.0</v>
      </c>
      <c r="B462" s="72">
        <v>12.0</v>
      </c>
      <c r="C462" s="72">
        <v>18.0</v>
      </c>
      <c r="D462" s="72" t="s">
        <v>11</v>
      </c>
      <c r="E462" s="111">
        <v>380.18</v>
      </c>
      <c r="F462" s="72">
        <v>0.541471</v>
      </c>
      <c r="G462" s="111">
        <v>205.86</v>
      </c>
      <c r="H462" s="72" t="s">
        <v>12</v>
      </c>
      <c r="I462" s="72" t="s">
        <v>110</v>
      </c>
      <c r="J462" s="72" t="s">
        <v>111</v>
      </c>
      <c r="K462" s="72" t="s">
        <v>116</v>
      </c>
      <c r="L462" s="93" t="s">
        <v>113</v>
      </c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>
      <c r="A463" s="72">
        <v>2025.0</v>
      </c>
      <c r="B463" s="72">
        <v>12.0</v>
      </c>
      <c r="C463" s="72">
        <v>30.0</v>
      </c>
      <c r="D463" s="72" t="s">
        <v>46</v>
      </c>
      <c r="E463" s="111">
        <v>632.51</v>
      </c>
      <c r="F463" s="72">
        <v>0.325238</v>
      </c>
      <c r="G463" s="111">
        <v>205.72</v>
      </c>
      <c r="H463" s="72" t="s">
        <v>12</v>
      </c>
      <c r="I463" s="72" t="s">
        <v>110</v>
      </c>
      <c r="J463" s="72" t="s">
        <v>111</v>
      </c>
      <c r="K463" s="72" t="s">
        <v>116</v>
      </c>
      <c r="L463" s="93" t="s">
        <v>113</v>
      </c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>
      <c r="A464" s="72">
        <v>2026.0</v>
      </c>
      <c r="B464" s="72">
        <v>1.0</v>
      </c>
      <c r="C464" s="72">
        <v>5.0</v>
      </c>
      <c r="D464" s="72" t="s">
        <v>43</v>
      </c>
      <c r="E464" s="111">
        <v>56.89</v>
      </c>
      <c r="F464" s="72">
        <v>2.410877</v>
      </c>
      <c r="G464" s="111">
        <v>137.15</v>
      </c>
      <c r="H464" s="72" t="s">
        <v>12</v>
      </c>
      <c r="I464" s="72" t="s">
        <v>110</v>
      </c>
      <c r="J464" s="72" t="s">
        <v>111</v>
      </c>
      <c r="K464" s="72" t="s">
        <v>116</v>
      </c>
      <c r="L464" s="93" t="s">
        <v>113</v>
      </c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>
      <c r="A465" s="72">
        <v>2026.0</v>
      </c>
      <c r="B465" s="72">
        <v>1.0</v>
      </c>
      <c r="C465" s="72">
        <v>5.0</v>
      </c>
      <c r="D465" s="72" t="s">
        <v>41</v>
      </c>
      <c r="E465" s="111">
        <v>477.46</v>
      </c>
      <c r="F465" s="72">
        <v>0.021321</v>
      </c>
      <c r="G465" s="111">
        <v>10.18</v>
      </c>
      <c r="H465" s="72" t="s">
        <v>12</v>
      </c>
      <c r="I465" s="72" t="s">
        <v>110</v>
      </c>
      <c r="J465" s="72" t="s">
        <v>111</v>
      </c>
      <c r="K465" s="72" t="s">
        <v>112</v>
      </c>
      <c r="L465" s="93" t="s">
        <v>113</v>
      </c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>
      <c r="A466" s="72">
        <v>2026.0</v>
      </c>
      <c r="B466" s="72">
        <v>1.0</v>
      </c>
      <c r="C466" s="72">
        <v>5.0</v>
      </c>
      <c r="D466" s="72" t="s">
        <v>26</v>
      </c>
      <c r="E466" s="92">
        <v>35735.0</v>
      </c>
      <c r="F466" s="72">
        <v>3.0</v>
      </c>
      <c r="G466" s="92">
        <v>107205.0</v>
      </c>
      <c r="H466" s="72" t="s">
        <v>7</v>
      </c>
      <c r="I466" s="72" t="s">
        <v>110</v>
      </c>
      <c r="J466" s="72" t="s">
        <v>119</v>
      </c>
      <c r="K466" s="72" t="s">
        <v>112</v>
      </c>
      <c r="L466" s="93" t="s">
        <v>113</v>
      </c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>
      <c r="A467" s="72">
        <v>2026.0</v>
      </c>
      <c r="B467" s="72">
        <v>1.0</v>
      </c>
      <c r="C467" s="72">
        <v>7.0</v>
      </c>
      <c r="D467" s="72" t="s">
        <v>55</v>
      </c>
      <c r="E467" s="111">
        <v>159.0</v>
      </c>
      <c r="F467" s="72">
        <v>1.0</v>
      </c>
      <c r="G467" s="111">
        <v>159.0</v>
      </c>
      <c r="H467" s="72" t="s">
        <v>12</v>
      </c>
      <c r="I467" s="72" t="s">
        <v>110</v>
      </c>
      <c r="J467" s="72" t="s">
        <v>111</v>
      </c>
      <c r="K467" s="72" t="s">
        <v>116</v>
      </c>
      <c r="L467" s="93" t="s">
        <v>113</v>
      </c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>
      <c r="A468" s="72">
        <v>2026.0</v>
      </c>
      <c r="B468" s="72">
        <v>1.0</v>
      </c>
      <c r="C468" s="72">
        <v>29.0</v>
      </c>
      <c r="D468" s="72" t="s">
        <v>53</v>
      </c>
      <c r="E468" s="92">
        <v>16465.0</v>
      </c>
      <c r="F468" s="72">
        <v>21.0</v>
      </c>
      <c r="G468" s="92">
        <v>345765.0</v>
      </c>
      <c r="H468" s="72" t="s">
        <v>7</v>
      </c>
      <c r="I468" s="72" t="s">
        <v>110</v>
      </c>
      <c r="J468" s="72" t="s">
        <v>123</v>
      </c>
      <c r="K468" s="72" t="s">
        <v>112</v>
      </c>
      <c r="L468" s="93" t="s">
        <v>113</v>
      </c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>
      <c r="A469" s="72">
        <v>2026.0</v>
      </c>
      <c r="B469" s="72">
        <v>1.0</v>
      </c>
      <c r="C469" s="72">
        <v>29.0</v>
      </c>
      <c r="D469" s="72" t="s">
        <v>34</v>
      </c>
      <c r="E469" s="92">
        <v>27025.0</v>
      </c>
      <c r="F469" s="72">
        <v>10.0</v>
      </c>
      <c r="G469" s="92">
        <v>270250.0</v>
      </c>
      <c r="H469" s="72" t="s">
        <v>7</v>
      </c>
      <c r="I469" s="72" t="s">
        <v>110</v>
      </c>
      <c r="J469" s="72" t="s">
        <v>111</v>
      </c>
      <c r="K469" s="72" t="s">
        <v>116</v>
      </c>
      <c r="L469" s="93" t="s">
        <v>113</v>
      </c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>
      <c r="A470" s="72">
        <v>2026.0</v>
      </c>
      <c r="B470" s="72">
        <v>1.0</v>
      </c>
      <c r="C470" s="72">
        <v>30.0</v>
      </c>
      <c r="D470" s="72" t="s">
        <v>60</v>
      </c>
      <c r="E470" s="92">
        <v>12855.0</v>
      </c>
      <c r="F470" s="72">
        <v>50.0</v>
      </c>
      <c r="G470" s="92">
        <v>642750.0</v>
      </c>
      <c r="H470" s="72" t="s">
        <v>7</v>
      </c>
      <c r="I470" s="72" t="s">
        <v>110</v>
      </c>
      <c r="J470" s="72" t="s">
        <v>111</v>
      </c>
      <c r="K470" s="72" t="s">
        <v>116</v>
      </c>
      <c r="L470" s="93" t="s">
        <v>113</v>
      </c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>
      <c r="A471" s="72">
        <v>2026.0</v>
      </c>
      <c r="B471" s="72">
        <v>2.0</v>
      </c>
      <c r="C471" s="72">
        <v>2.0</v>
      </c>
      <c r="D471" s="72" t="s">
        <v>11</v>
      </c>
      <c r="E471" s="111">
        <v>403.93</v>
      </c>
      <c r="F471" s="72">
        <v>0.508717</v>
      </c>
      <c r="G471" s="111">
        <v>205.49</v>
      </c>
      <c r="H471" s="72" t="s">
        <v>12</v>
      </c>
      <c r="I471" s="72" t="s">
        <v>110</v>
      </c>
      <c r="J471" s="72" t="s">
        <v>111</v>
      </c>
      <c r="K471" s="72" t="s">
        <v>116</v>
      </c>
      <c r="L471" s="93" t="s">
        <v>113</v>
      </c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>
      <c r="A472" s="72">
        <v>2026.0</v>
      </c>
      <c r="B472" s="72">
        <v>2.0</v>
      </c>
      <c r="C472" s="72">
        <v>2.0</v>
      </c>
      <c r="D472" s="72" t="s">
        <v>46</v>
      </c>
      <c r="E472" s="111">
        <v>636.88</v>
      </c>
      <c r="F472" s="72">
        <v>0.322598</v>
      </c>
      <c r="G472" s="111">
        <v>205.46</v>
      </c>
      <c r="H472" s="72" t="s">
        <v>12</v>
      </c>
      <c r="I472" s="72" t="s">
        <v>110</v>
      </c>
      <c r="J472" s="72" t="s">
        <v>111</v>
      </c>
      <c r="K472" s="72" t="s">
        <v>116</v>
      </c>
      <c r="L472" s="93" t="s">
        <v>113</v>
      </c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>
      <c r="A473" s="72">
        <v>2026.0</v>
      </c>
      <c r="B473" s="72">
        <v>2.0</v>
      </c>
      <c r="C473" s="72">
        <v>2.0</v>
      </c>
      <c r="D473" s="72" t="s">
        <v>43</v>
      </c>
      <c r="E473" s="111">
        <v>61.26</v>
      </c>
      <c r="F473" s="72">
        <v>2.234025</v>
      </c>
      <c r="G473" s="111">
        <v>136.86</v>
      </c>
      <c r="H473" s="72" t="s">
        <v>12</v>
      </c>
      <c r="I473" s="72" t="s">
        <v>110</v>
      </c>
      <c r="J473" s="72" t="s">
        <v>111</v>
      </c>
      <c r="K473" s="72" t="s">
        <v>116</v>
      </c>
      <c r="L473" s="93" t="s">
        <v>113</v>
      </c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>
      <c r="A474" s="72">
        <v>2026.0</v>
      </c>
      <c r="B474" s="72">
        <v>2.0</v>
      </c>
      <c r="C474" s="72">
        <v>2.0</v>
      </c>
      <c r="D474" s="72" t="s">
        <v>55</v>
      </c>
      <c r="E474" s="111">
        <v>174.16</v>
      </c>
      <c r="F474" s="72">
        <v>0.145865</v>
      </c>
      <c r="G474" s="111">
        <v>25.4</v>
      </c>
      <c r="H474" s="72" t="s">
        <v>12</v>
      </c>
      <c r="I474" s="72" t="s">
        <v>110</v>
      </c>
      <c r="J474" s="72" t="s">
        <v>111</v>
      </c>
      <c r="K474" s="72" t="s">
        <v>112</v>
      </c>
      <c r="L474" s="93" t="s">
        <v>113</v>
      </c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>
      <c r="A475" s="72">
        <v>2026.0</v>
      </c>
      <c r="B475" s="72">
        <v>2.0</v>
      </c>
      <c r="C475" s="72">
        <v>2.0</v>
      </c>
      <c r="D475" s="72" t="s">
        <v>41</v>
      </c>
      <c r="E475" s="111">
        <v>487.12</v>
      </c>
      <c r="F475" s="72">
        <v>0.066041</v>
      </c>
      <c r="G475" s="111">
        <v>32.17</v>
      </c>
      <c r="H475" s="72" t="s">
        <v>12</v>
      </c>
      <c r="I475" s="72" t="s">
        <v>110</v>
      </c>
      <c r="J475" s="72" t="s">
        <v>111</v>
      </c>
      <c r="K475" s="72" t="s">
        <v>112</v>
      </c>
      <c r="L475" s="93" t="s">
        <v>113</v>
      </c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>
      <c r="A476" s="72">
        <v>2026.0</v>
      </c>
      <c r="B476" s="72">
        <v>2.0</v>
      </c>
      <c r="C476" s="72">
        <v>3.0</v>
      </c>
      <c r="D476" s="72" t="s">
        <v>43</v>
      </c>
      <c r="E476" s="111">
        <v>61.3026</v>
      </c>
      <c r="F476" s="72">
        <v>0.18344</v>
      </c>
      <c r="G476" s="110">
        <f>sum(E476*F476)</f>
        <v>11.24534894</v>
      </c>
      <c r="H476" s="72" t="s">
        <v>12</v>
      </c>
      <c r="I476" s="72" t="s">
        <v>110</v>
      </c>
      <c r="J476" s="72" t="s">
        <v>111</v>
      </c>
      <c r="K476" s="72" t="s">
        <v>121</v>
      </c>
      <c r="L476" s="93" t="s">
        <v>113</v>
      </c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>
      <c r="A477" s="72">
        <v>2026.0</v>
      </c>
      <c r="B477" s="72">
        <v>2.0</v>
      </c>
      <c r="C477" s="72">
        <v>6.0</v>
      </c>
      <c r="D477" s="72" t="s">
        <v>53</v>
      </c>
      <c r="E477" s="92">
        <v>16340.0</v>
      </c>
      <c r="F477" s="72">
        <v>2.0</v>
      </c>
      <c r="G477" s="92">
        <v>32680.0</v>
      </c>
      <c r="H477" s="72" t="s">
        <v>7</v>
      </c>
      <c r="I477" s="72" t="s">
        <v>110</v>
      </c>
      <c r="J477" s="72" t="s">
        <v>123</v>
      </c>
      <c r="K477" s="72" t="s">
        <v>112</v>
      </c>
      <c r="L477" s="93" t="s">
        <v>113</v>
      </c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>
      <c r="A478" s="72">
        <v>2026.0</v>
      </c>
      <c r="B478" s="72">
        <v>2.0</v>
      </c>
      <c r="C478" s="72">
        <v>5.0</v>
      </c>
      <c r="D478" s="72" t="s">
        <v>34</v>
      </c>
      <c r="E478" s="92">
        <v>27865.0</v>
      </c>
      <c r="F478" s="72">
        <v>7.0</v>
      </c>
      <c r="G478" s="92">
        <v>195055.0</v>
      </c>
      <c r="H478" s="72" t="s">
        <v>7</v>
      </c>
      <c r="I478" s="72" t="s">
        <v>110</v>
      </c>
      <c r="J478" s="72" t="s">
        <v>111</v>
      </c>
      <c r="K478" s="72" t="s">
        <v>116</v>
      </c>
      <c r="L478" s="93" t="s">
        <v>113</v>
      </c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>
      <c r="A479" s="72">
        <v>2026.0</v>
      </c>
      <c r="B479" s="72">
        <v>2.0</v>
      </c>
      <c r="C479" s="72">
        <v>5.0</v>
      </c>
      <c r="D479" s="72" t="s">
        <v>34</v>
      </c>
      <c r="E479" s="92">
        <v>27900.0</v>
      </c>
      <c r="F479" s="72">
        <v>2.0</v>
      </c>
      <c r="G479" s="92">
        <v>55800.0</v>
      </c>
      <c r="H479" s="72" t="s">
        <v>7</v>
      </c>
      <c r="I479" s="72" t="s">
        <v>110</v>
      </c>
      <c r="J479" s="72" t="s">
        <v>119</v>
      </c>
      <c r="K479" s="72" t="s">
        <v>112</v>
      </c>
      <c r="L479" s="93" t="s">
        <v>113</v>
      </c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>
      <c r="A480" s="72">
        <v>2026.0</v>
      </c>
      <c r="B480" s="72">
        <v>2.0</v>
      </c>
      <c r="C480" s="72">
        <v>27.0</v>
      </c>
      <c r="D480" s="72" t="s">
        <v>20</v>
      </c>
      <c r="E480" s="92">
        <v>14255.0</v>
      </c>
      <c r="F480" s="72">
        <v>1.0</v>
      </c>
      <c r="G480" s="92">
        <v>14255.0</v>
      </c>
      <c r="H480" s="72" t="s">
        <v>7</v>
      </c>
      <c r="I480" s="72" t="s">
        <v>110</v>
      </c>
      <c r="J480" s="72" t="s">
        <v>119</v>
      </c>
      <c r="K480" s="72" t="s">
        <v>112</v>
      </c>
      <c r="L480" s="93" t="s">
        <v>113</v>
      </c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>
      <c r="A481" s="72">
        <v>2026.0</v>
      </c>
      <c r="B481" s="72">
        <v>2.0</v>
      </c>
      <c r="C481" s="72">
        <v>27.0</v>
      </c>
      <c r="D481" s="72" t="s">
        <v>34</v>
      </c>
      <c r="E481" s="92">
        <v>34265.0</v>
      </c>
      <c r="F481" s="72">
        <v>2.0</v>
      </c>
      <c r="G481" s="92">
        <v>68530.0</v>
      </c>
      <c r="H481" s="72" t="s">
        <v>7</v>
      </c>
      <c r="I481" s="72" t="s">
        <v>110</v>
      </c>
      <c r="J481" s="72" t="s">
        <v>119</v>
      </c>
      <c r="K481" s="72" t="s">
        <v>112</v>
      </c>
      <c r="L481" s="93" t="s">
        <v>113</v>
      </c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>
      <c r="A482" s="72">
        <v>2026.0</v>
      </c>
      <c r="B482" s="72">
        <v>2.0</v>
      </c>
      <c r="C482" s="72">
        <v>27.0</v>
      </c>
      <c r="D482" s="72" t="s">
        <v>34</v>
      </c>
      <c r="E482" s="92">
        <v>33455.0</v>
      </c>
      <c r="F482" s="72">
        <v>2.0</v>
      </c>
      <c r="G482" s="92">
        <v>66910.0</v>
      </c>
      <c r="H482" s="72" t="s">
        <v>7</v>
      </c>
      <c r="I482" s="72" t="s">
        <v>110</v>
      </c>
      <c r="J482" s="72" t="s">
        <v>119</v>
      </c>
      <c r="K482" s="72" t="s">
        <v>112</v>
      </c>
      <c r="L482" s="93" t="s">
        <v>113</v>
      </c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>
      <c r="A483" s="72">
        <v>2026.0</v>
      </c>
      <c r="B483" s="72">
        <v>2.0</v>
      </c>
      <c r="C483" s="72">
        <v>24.0</v>
      </c>
      <c r="D483" s="72" t="s">
        <v>41</v>
      </c>
      <c r="E483" s="111">
        <v>397.58</v>
      </c>
      <c r="F483" s="72">
        <v>0.043568</v>
      </c>
      <c r="G483" s="111">
        <v>17.32</v>
      </c>
      <c r="H483" s="72" t="s">
        <v>12</v>
      </c>
      <c r="I483" s="72" t="s">
        <v>110</v>
      </c>
      <c r="J483" s="72" t="s">
        <v>111</v>
      </c>
      <c r="K483" s="72" t="s">
        <v>112</v>
      </c>
      <c r="L483" s="93" t="s">
        <v>113</v>
      </c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>
      <c r="A484" s="72">
        <v>2026.0</v>
      </c>
      <c r="B484" s="72">
        <v>2.0</v>
      </c>
      <c r="C484" s="72">
        <v>16.0</v>
      </c>
      <c r="D484" s="72" t="s">
        <v>55</v>
      </c>
      <c r="E484" s="111">
        <v>134.38</v>
      </c>
      <c r="F484" s="72">
        <v>0.728483</v>
      </c>
      <c r="G484" s="111">
        <v>97.89</v>
      </c>
      <c r="H484" s="72" t="s">
        <v>12</v>
      </c>
      <c r="I484" s="72" t="s">
        <v>110</v>
      </c>
      <c r="J484" s="72" t="s">
        <v>111</v>
      </c>
      <c r="K484" s="72" t="s">
        <v>116</v>
      </c>
      <c r="L484" s="93" t="s">
        <v>113</v>
      </c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>
      <c r="A485" s="72">
        <v>2026.0</v>
      </c>
      <c r="B485" s="72">
        <v>3.0</v>
      </c>
      <c r="C485" s="72">
        <v>4.0</v>
      </c>
      <c r="D485" s="72" t="s">
        <v>43</v>
      </c>
      <c r="E485" s="111">
        <v>67.1</v>
      </c>
      <c r="F485" s="72">
        <v>2.020087</v>
      </c>
      <c r="G485" s="111">
        <v>135.55</v>
      </c>
      <c r="H485" s="72" t="s">
        <v>12</v>
      </c>
      <c r="I485" s="72" t="s">
        <v>110</v>
      </c>
      <c r="J485" s="72" t="s">
        <v>111</v>
      </c>
      <c r="K485" s="72" t="s">
        <v>116</v>
      </c>
      <c r="L485" s="93" t="s">
        <v>113</v>
      </c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>
      <c r="A486" s="72">
        <v>2026.0</v>
      </c>
      <c r="B486" s="72">
        <v>3.0</v>
      </c>
      <c r="C486" s="72">
        <v>4.0</v>
      </c>
      <c r="D486" s="72" t="s">
        <v>46</v>
      </c>
      <c r="E486" s="111">
        <v>627.58</v>
      </c>
      <c r="F486" s="72">
        <v>0.323667</v>
      </c>
      <c r="G486" s="111">
        <v>203.13</v>
      </c>
      <c r="H486" s="72" t="s">
        <v>12</v>
      </c>
      <c r="I486" s="72" t="s">
        <v>110</v>
      </c>
      <c r="J486" s="72" t="s">
        <v>111</v>
      </c>
      <c r="K486" s="72" t="s">
        <v>116</v>
      </c>
      <c r="L486" s="93" t="s">
        <v>113</v>
      </c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>
      <c r="A487" s="72">
        <v>2026.0</v>
      </c>
      <c r="B487" s="72">
        <v>3.0</v>
      </c>
      <c r="C487" s="72">
        <v>4.0</v>
      </c>
      <c r="D487" s="72" t="s">
        <v>11</v>
      </c>
      <c r="E487" s="111">
        <v>203.13</v>
      </c>
      <c r="F487" s="72">
        <v>0.506321</v>
      </c>
      <c r="G487" s="111">
        <v>102.85</v>
      </c>
      <c r="H487" s="72" t="s">
        <v>12</v>
      </c>
      <c r="I487" s="72" t="s">
        <v>110</v>
      </c>
      <c r="J487" s="72" t="s">
        <v>111</v>
      </c>
      <c r="K487" s="72" t="s">
        <v>116</v>
      </c>
      <c r="L487" s="93" t="s">
        <v>113</v>
      </c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>
      <c r="A488" s="72">
        <v>2025.0</v>
      </c>
      <c r="B488" s="72">
        <v>11.0</v>
      </c>
      <c r="C488" s="72">
        <v>3.0</v>
      </c>
      <c r="D488" s="72" t="s">
        <v>23</v>
      </c>
      <c r="E488" s="92">
        <v>28310.0</v>
      </c>
      <c r="F488" s="72">
        <v>8.0</v>
      </c>
      <c r="G488" s="92">
        <v>226480.0</v>
      </c>
      <c r="H488" s="72" t="s">
        <v>7</v>
      </c>
      <c r="I488" s="72" t="s">
        <v>110</v>
      </c>
      <c r="J488" s="72" t="s">
        <v>123</v>
      </c>
      <c r="K488" s="72" t="s">
        <v>112</v>
      </c>
      <c r="L488" s="93" t="s">
        <v>113</v>
      </c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>
      <c r="A489" s="113">
        <v>2026.0</v>
      </c>
      <c r="B489" s="113">
        <v>3.0</v>
      </c>
      <c r="C489" s="113">
        <v>20.0</v>
      </c>
      <c r="D489" s="113" t="s">
        <v>26</v>
      </c>
      <c r="E489" s="114">
        <v>31160.0</v>
      </c>
      <c r="F489" s="113">
        <v>5.0</v>
      </c>
      <c r="G489" s="114">
        <v>155800.0</v>
      </c>
      <c r="H489" s="113" t="s">
        <v>7</v>
      </c>
      <c r="I489" s="113" t="s">
        <v>110</v>
      </c>
      <c r="J489" s="113" t="s">
        <v>119</v>
      </c>
      <c r="K489" s="113" t="s">
        <v>112</v>
      </c>
      <c r="L489" s="93" t="s">
        <v>113</v>
      </c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>
      <c r="A490" s="113">
        <v>2026.0</v>
      </c>
      <c r="B490" s="113">
        <v>3.0</v>
      </c>
      <c r="C490" s="113">
        <v>27.0</v>
      </c>
      <c r="D490" s="113" t="s">
        <v>6</v>
      </c>
      <c r="E490" s="114">
        <v>30210.0</v>
      </c>
      <c r="F490" s="113">
        <v>10.0</v>
      </c>
      <c r="G490" s="114">
        <v>302100.0</v>
      </c>
      <c r="H490" s="113" t="s">
        <v>7</v>
      </c>
      <c r="I490" s="113" t="s">
        <v>110</v>
      </c>
      <c r="J490" s="113" t="s">
        <v>125</v>
      </c>
      <c r="K490" s="113" t="s">
        <v>112</v>
      </c>
      <c r="L490" s="93" t="s">
        <v>113</v>
      </c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>
      <c r="A491" s="113">
        <v>2026.0</v>
      </c>
      <c r="B491" s="113">
        <v>3.0</v>
      </c>
      <c r="C491" s="113">
        <v>27.0</v>
      </c>
      <c r="D491" s="113" t="s">
        <v>26</v>
      </c>
      <c r="E491" s="114">
        <v>29810.0</v>
      </c>
      <c r="F491" s="113">
        <v>15.0</v>
      </c>
      <c r="G491" s="114">
        <v>447150.0</v>
      </c>
      <c r="H491" s="113" t="s">
        <v>7</v>
      </c>
      <c r="I491" s="113" t="s">
        <v>110</v>
      </c>
      <c r="J491" s="113" t="s">
        <v>125</v>
      </c>
      <c r="K491" s="113" t="s">
        <v>112</v>
      </c>
      <c r="L491" s="93" t="s">
        <v>113</v>
      </c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>
      <c r="A492" s="113">
        <v>2026.0</v>
      </c>
      <c r="B492" s="113">
        <v>3.0</v>
      </c>
      <c r="C492" s="113">
        <v>27.0</v>
      </c>
      <c r="D492" s="113" t="s">
        <v>77</v>
      </c>
      <c r="E492" s="114">
        <v>10910.0</v>
      </c>
      <c r="F492" s="113">
        <v>10.0</v>
      </c>
      <c r="G492" s="114">
        <v>109100.0</v>
      </c>
      <c r="H492" s="113" t="s">
        <v>7</v>
      </c>
      <c r="I492" s="113" t="s">
        <v>110</v>
      </c>
      <c r="J492" s="113" t="s">
        <v>125</v>
      </c>
      <c r="K492" s="113" t="s">
        <v>112</v>
      </c>
      <c r="L492" s="93" t="s">
        <v>113</v>
      </c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>
      <c r="A493" s="113">
        <v>2026.0</v>
      </c>
      <c r="B493" s="113">
        <v>3.0</v>
      </c>
      <c r="C493" s="113">
        <v>26.0</v>
      </c>
      <c r="D493" s="113" t="s">
        <v>34</v>
      </c>
      <c r="E493" s="114">
        <v>29655.0</v>
      </c>
      <c r="F493" s="113">
        <v>33.0</v>
      </c>
      <c r="G493" s="114">
        <v>978615.0</v>
      </c>
      <c r="H493" s="113" t="s">
        <v>7</v>
      </c>
      <c r="I493" s="113" t="s">
        <v>110</v>
      </c>
      <c r="J493" s="113" t="s">
        <v>125</v>
      </c>
      <c r="K493" s="113" t="s">
        <v>112</v>
      </c>
      <c r="L493" s="93" t="s">
        <v>113</v>
      </c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>
      <c r="A494" s="113">
        <v>2026.0</v>
      </c>
      <c r="B494" s="113">
        <v>3.0</v>
      </c>
      <c r="C494" s="113">
        <v>27.0</v>
      </c>
      <c r="D494" s="113" t="s">
        <v>50</v>
      </c>
      <c r="E494" s="115">
        <v>145.15</v>
      </c>
      <c r="F494" s="113">
        <v>3.0</v>
      </c>
      <c r="G494" s="115">
        <v>435.45</v>
      </c>
      <c r="H494" s="113" t="s">
        <v>12</v>
      </c>
      <c r="I494" s="113" t="s">
        <v>110</v>
      </c>
      <c r="J494" s="113" t="s">
        <v>111</v>
      </c>
      <c r="K494" s="113" t="s">
        <v>112</v>
      </c>
      <c r="L494" s="93" t="s">
        <v>113</v>
      </c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>
      <c r="A495" s="72">
        <v>2026.0</v>
      </c>
      <c r="B495" s="72">
        <v>3.0</v>
      </c>
      <c r="C495" s="72">
        <v>27.0</v>
      </c>
      <c r="D495" s="72" t="s">
        <v>11</v>
      </c>
      <c r="E495" s="111">
        <v>377.99</v>
      </c>
      <c r="F495" s="72">
        <v>3.0</v>
      </c>
      <c r="G495" s="111">
        <v>1133.96</v>
      </c>
      <c r="H495" s="72" t="s">
        <v>12</v>
      </c>
      <c r="I495" s="72" t="s">
        <v>110</v>
      </c>
      <c r="J495" s="72" t="s">
        <v>111</v>
      </c>
      <c r="K495" s="72" t="s">
        <v>112</v>
      </c>
      <c r="L495" s="93" t="s">
        <v>113</v>
      </c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>
      <c r="A496" s="72">
        <v>2026.0</v>
      </c>
      <c r="B496" s="72">
        <v>3.0</v>
      </c>
      <c r="C496" s="72">
        <v>31.0</v>
      </c>
      <c r="D496" s="72" t="s">
        <v>6</v>
      </c>
      <c r="E496" s="92">
        <v>28300.0</v>
      </c>
      <c r="F496" s="72">
        <v>2.0</v>
      </c>
      <c r="G496" s="92">
        <v>56600.0</v>
      </c>
      <c r="H496" s="72" t="s">
        <v>7</v>
      </c>
      <c r="I496" s="72" t="s">
        <v>110</v>
      </c>
      <c r="J496" s="72" t="s">
        <v>119</v>
      </c>
      <c r="K496" s="72" t="s">
        <v>112</v>
      </c>
      <c r="L496" s="93" t="s">
        <v>113</v>
      </c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>
      <c r="A497" s="72">
        <v>2026.0</v>
      </c>
      <c r="B497" s="72">
        <v>3.0</v>
      </c>
      <c r="C497" s="72">
        <v>31.0</v>
      </c>
      <c r="D497" s="72" t="s">
        <v>6</v>
      </c>
      <c r="E497" s="92">
        <v>28300.0</v>
      </c>
      <c r="F497" s="72">
        <v>10.0</v>
      </c>
      <c r="G497" s="92">
        <v>283000.0</v>
      </c>
      <c r="H497" s="72" t="s">
        <v>7</v>
      </c>
      <c r="I497" s="72" t="s">
        <v>110</v>
      </c>
      <c r="J497" s="72" t="s">
        <v>125</v>
      </c>
      <c r="K497" s="72" t="s">
        <v>112</v>
      </c>
      <c r="L497" s="93" t="s">
        <v>113</v>
      </c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>
      <c r="A498" s="72">
        <v>2026.0</v>
      </c>
      <c r="B498" s="72">
        <v>3.0</v>
      </c>
      <c r="C498" s="72">
        <v>31.0</v>
      </c>
      <c r="D498" s="72" t="s">
        <v>34</v>
      </c>
      <c r="E498" s="92">
        <v>27365.0</v>
      </c>
      <c r="F498" s="72">
        <v>5.0</v>
      </c>
      <c r="G498" s="92">
        <v>136825.0</v>
      </c>
      <c r="H498" s="72" t="s">
        <v>7</v>
      </c>
      <c r="I498" s="72" t="s">
        <v>110</v>
      </c>
      <c r="J498" s="72" t="s">
        <v>125</v>
      </c>
      <c r="K498" s="72" t="s">
        <v>112</v>
      </c>
      <c r="L498" s="93" t="s">
        <v>113</v>
      </c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>
      <c r="A499" s="72">
        <v>2026.0</v>
      </c>
      <c r="B499" s="72">
        <v>3.0</v>
      </c>
      <c r="C499" s="72">
        <v>31.0</v>
      </c>
      <c r="D499" s="72" t="s">
        <v>77</v>
      </c>
      <c r="E499" s="92">
        <v>10870.0</v>
      </c>
      <c r="F499" s="72">
        <v>10.0</v>
      </c>
      <c r="G499" s="92">
        <v>108700.0</v>
      </c>
      <c r="H499" s="72" t="s">
        <v>7</v>
      </c>
      <c r="I499" s="72" t="s">
        <v>110</v>
      </c>
      <c r="J499" s="72" t="s">
        <v>125</v>
      </c>
      <c r="K499" s="72" t="s">
        <v>112</v>
      </c>
      <c r="L499" s="93" t="s">
        <v>113</v>
      </c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>
      <c r="A500" s="72">
        <v>2026.0</v>
      </c>
      <c r="B500" s="72">
        <v>4.0</v>
      </c>
      <c r="C500" s="72">
        <v>1.0</v>
      </c>
      <c r="D500" s="72" t="s">
        <v>11</v>
      </c>
      <c r="E500" s="111">
        <v>391.07</v>
      </c>
      <c r="F500" s="72">
        <v>0.506149</v>
      </c>
      <c r="G500" s="111">
        <v>197.94</v>
      </c>
      <c r="H500" s="72" t="s">
        <v>12</v>
      </c>
      <c r="I500" s="72" t="s">
        <v>110</v>
      </c>
      <c r="J500" s="72" t="s">
        <v>111</v>
      </c>
      <c r="K500" s="72" t="s">
        <v>116</v>
      </c>
      <c r="L500" s="93" t="s">
        <v>113</v>
      </c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>
      <c r="A501" s="72">
        <v>2026.0</v>
      </c>
      <c r="B501" s="72">
        <v>4.0</v>
      </c>
      <c r="C501" s="72">
        <v>1.0</v>
      </c>
      <c r="D501" s="72" t="s">
        <v>50</v>
      </c>
      <c r="E501" s="111">
        <v>147.71</v>
      </c>
      <c r="F501" s="72">
        <v>1.339972</v>
      </c>
      <c r="G501" s="111">
        <v>197.93</v>
      </c>
      <c r="H501" s="72" t="s">
        <v>12</v>
      </c>
      <c r="I501" s="72" t="s">
        <v>110</v>
      </c>
      <c r="J501" s="72" t="s">
        <v>111</v>
      </c>
      <c r="K501" s="72" t="s">
        <v>116</v>
      </c>
      <c r="L501" s="93" t="s">
        <v>113</v>
      </c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>
      <c r="A502" s="72">
        <v>2026.0</v>
      </c>
      <c r="B502" s="72">
        <v>4.0</v>
      </c>
      <c r="C502" s="72">
        <v>1.0</v>
      </c>
      <c r="D502" s="72" t="s">
        <v>46</v>
      </c>
      <c r="E502" s="111">
        <v>601.03</v>
      </c>
      <c r="F502" s="72">
        <v>0.329295</v>
      </c>
      <c r="G502" s="111">
        <v>197.92</v>
      </c>
      <c r="H502" s="72" t="s">
        <v>12</v>
      </c>
      <c r="I502" s="72" t="s">
        <v>110</v>
      </c>
      <c r="J502" s="72" t="s">
        <v>111</v>
      </c>
      <c r="K502" s="72" t="s">
        <v>116</v>
      </c>
      <c r="L502" s="93" t="s">
        <v>113</v>
      </c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>
      <c r="A503" s="72">
        <v>2026.0</v>
      </c>
      <c r="B503" s="72">
        <v>4.0</v>
      </c>
      <c r="C503" s="72">
        <v>1.0</v>
      </c>
      <c r="D503" s="72" t="s">
        <v>43</v>
      </c>
      <c r="E503" s="111">
        <v>61.46</v>
      </c>
      <c r="F503" s="72">
        <v>3.219923</v>
      </c>
      <c r="G503" s="111">
        <v>197.9</v>
      </c>
      <c r="H503" s="72" t="s">
        <v>12</v>
      </c>
      <c r="I503" s="72" t="s">
        <v>110</v>
      </c>
      <c r="J503" s="72" t="s">
        <v>111</v>
      </c>
      <c r="K503" s="72" t="s">
        <v>116</v>
      </c>
      <c r="L503" s="93" t="s">
        <v>113</v>
      </c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>
      <c r="A504" s="72">
        <v>2026.0</v>
      </c>
      <c r="B504" s="72">
        <v>3.0</v>
      </c>
      <c r="C504" s="72">
        <v>26.0</v>
      </c>
      <c r="D504" s="72" t="s">
        <v>20</v>
      </c>
      <c r="E504" s="124">
        <v>14470.0</v>
      </c>
      <c r="F504" s="125">
        <v>1.0</v>
      </c>
      <c r="G504" s="124">
        <v>14470.0</v>
      </c>
      <c r="H504" s="72" t="s">
        <v>7</v>
      </c>
      <c r="I504" s="72" t="s">
        <v>110</v>
      </c>
      <c r="J504" s="72" t="s">
        <v>119</v>
      </c>
      <c r="K504" s="72" t="s">
        <v>112</v>
      </c>
      <c r="L504" s="93" t="s">
        <v>113</v>
      </c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>
      <c r="A505" s="72">
        <v>2026.0</v>
      </c>
      <c r="B505" s="72">
        <v>3.0</v>
      </c>
      <c r="C505" s="72">
        <v>26.0</v>
      </c>
      <c r="D505" s="72" t="s">
        <v>48</v>
      </c>
      <c r="E505" s="124">
        <v>41725.0</v>
      </c>
      <c r="F505" s="125">
        <v>3.0</v>
      </c>
      <c r="G505" s="124">
        <v>125175.0</v>
      </c>
      <c r="H505" s="72" t="s">
        <v>7</v>
      </c>
      <c r="I505" s="72" t="s">
        <v>110</v>
      </c>
      <c r="J505" s="72" t="s">
        <v>119</v>
      </c>
      <c r="K505" s="72" t="s">
        <v>112</v>
      </c>
      <c r="L505" s="93" t="s">
        <v>113</v>
      </c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>
      <c r="A506" s="72">
        <v>2026.0</v>
      </c>
      <c r="B506" s="72">
        <v>3.0</v>
      </c>
      <c r="C506" s="72">
        <v>26.0</v>
      </c>
      <c r="D506" s="72" t="s">
        <v>57</v>
      </c>
      <c r="E506" s="124">
        <v>19705.0</v>
      </c>
      <c r="F506" s="125">
        <v>5.0</v>
      </c>
      <c r="G506" s="124">
        <v>98525.0</v>
      </c>
      <c r="H506" s="72" t="s">
        <v>7</v>
      </c>
      <c r="I506" s="72" t="s">
        <v>110</v>
      </c>
      <c r="J506" s="72" t="s">
        <v>119</v>
      </c>
      <c r="K506" s="72" t="s">
        <v>112</v>
      </c>
      <c r="L506" s="93" t="s">
        <v>113</v>
      </c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>
      <c r="A507" s="72">
        <v>2026.0</v>
      </c>
      <c r="B507" s="72">
        <v>3.0</v>
      </c>
      <c r="C507" s="72">
        <v>25.0</v>
      </c>
      <c r="D507" s="72" t="s">
        <v>14</v>
      </c>
      <c r="E507" s="124">
        <v>13040.0</v>
      </c>
      <c r="F507" s="125">
        <v>10.0</v>
      </c>
      <c r="G507" s="124">
        <v>130400.0</v>
      </c>
      <c r="H507" s="72" t="s">
        <v>7</v>
      </c>
      <c r="I507" s="72" t="s">
        <v>110</v>
      </c>
      <c r="J507" s="72" t="s">
        <v>119</v>
      </c>
      <c r="K507" s="72" t="s">
        <v>112</v>
      </c>
      <c r="L507" s="93" t="s">
        <v>113</v>
      </c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>
      <c r="A508" s="72">
        <v>2026.0</v>
      </c>
      <c r="B508" s="72">
        <v>3.0</v>
      </c>
      <c r="C508" s="72">
        <v>25.0</v>
      </c>
      <c r="D508" s="72" t="s">
        <v>26</v>
      </c>
      <c r="E508" s="124">
        <v>29690.0</v>
      </c>
      <c r="F508" s="125">
        <v>10.0</v>
      </c>
      <c r="G508" s="124">
        <v>296900.0</v>
      </c>
      <c r="H508" s="72" t="s">
        <v>7</v>
      </c>
      <c r="I508" s="72" t="s">
        <v>110</v>
      </c>
      <c r="J508" s="72" t="s">
        <v>119</v>
      </c>
      <c r="K508" s="72" t="s">
        <v>112</v>
      </c>
      <c r="L508" s="93" t="s">
        <v>113</v>
      </c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>
      <c r="A509" s="72">
        <v>2026.0</v>
      </c>
      <c r="B509" s="72">
        <v>3.0</v>
      </c>
      <c r="C509" s="72">
        <v>25.0</v>
      </c>
      <c r="D509" s="72" t="s">
        <v>48</v>
      </c>
      <c r="E509" s="124">
        <v>43780.0</v>
      </c>
      <c r="F509" s="125">
        <v>10.0</v>
      </c>
      <c r="G509" s="124">
        <v>437800.0</v>
      </c>
      <c r="H509" s="72" t="s">
        <v>7</v>
      </c>
      <c r="I509" s="72" t="s">
        <v>110</v>
      </c>
      <c r="J509" s="72" t="s">
        <v>119</v>
      </c>
      <c r="K509" s="72" t="s">
        <v>112</v>
      </c>
      <c r="L509" s="93" t="s">
        <v>113</v>
      </c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>
      <c r="A510" s="72">
        <v>2026.0</v>
      </c>
      <c r="B510" s="72">
        <v>3.0</v>
      </c>
      <c r="C510" s="72">
        <v>25.0</v>
      </c>
      <c r="D510" s="72" t="s">
        <v>6</v>
      </c>
      <c r="E510" s="124">
        <v>30025.0</v>
      </c>
      <c r="F510" s="125">
        <v>8.0</v>
      </c>
      <c r="G510" s="124">
        <v>240200.0</v>
      </c>
      <c r="H510" s="72" t="s">
        <v>7</v>
      </c>
      <c r="I510" s="72" t="s">
        <v>110</v>
      </c>
      <c r="J510" s="72" t="s">
        <v>119</v>
      </c>
      <c r="K510" s="72" t="s">
        <v>112</v>
      </c>
      <c r="L510" s="93" t="s">
        <v>113</v>
      </c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>
      <c r="A511" s="72">
        <v>2026.0</v>
      </c>
      <c r="B511" s="72">
        <v>3.0</v>
      </c>
      <c r="C511" s="72">
        <v>25.0</v>
      </c>
      <c r="D511" s="72" t="s">
        <v>23</v>
      </c>
      <c r="E511" s="124">
        <v>27335.0</v>
      </c>
      <c r="F511" s="125">
        <v>8.0</v>
      </c>
      <c r="G511" s="124">
        <v>218680.0</v>
      </c>
      <c r="H511" s="72" t="s">
        <v>7</v>
      </c>
      <c r="I511" s="72" t="s">
        <v>110</v>
      </c>
      <c r="J511" s="72" t="s">
        <v>119</v>
      </c>
      <c r="K511" s="72" t="s">
        <v>112</v>
      </c>
      <c r="L511" s="93" t="s">
        <v>113</v>
      </c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>
      <c r="A512" s="72">
        <v>2026.0</v>
      </c>
      <c r="B512" s="72">
        <v>3.0</v>
      </c>
      <c r="C512" s="72">
        <v>25.0</v>
      </c>
      <c r="D512" s="72" t="s">
        <v>34</v>
      </c>
      <c r="E512" s="124">
        <v>29330.0</v>
      </c>
      <c r="F512" s="125">
        <v>10.0</v>
      </c>
      <c r="G512" s="124">
        <v>293300.0</v>
      </c>
      <c r="H512" s="72" t="s">
        <v>7</v>
      </c>
      <c r="I512" s="72" t="s">
        <v>110</v>
      </c>
      <c r="J512" s="72" t="s">
        <v>119</v>
      </c>
      <c r="K512" s="72" t="s">
        <v>112</v>
      </c>
      <c r="L512" s="93" t="s">
        <v>113</v>
      </c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>
      <c r="A513" s="72">
        <v>2026.0</v>
      </c>
      <c r="B513" s="72">
        <v>4.0</v>
      </c>
      <c r="C513" s="72">
        <v>20.0</v>
      </c>
      <c r="D513" s="72" t="s">
        <v>59</v>
      </c>
      <c r="E513" s="126">
        <v>265.5</v>
      </c>
      <c r="F513" s="125">
        <v>1.0</v>
      </c>
      <c r="G513" s="126">
        <v>265.5</v>
      </c>
      <c r="H513" s="72" t="s">
        <v>12</v>
      </c>
      <c r="I513" s="72" t="s">
        <v>110</v>
      </c>
      <c r="J513" s="72" t="s">
        <v>111</v>
      </c>
      <c r="K513" s="72" t="s">
        <v>116</v>
      </c>
      <c r="L513" s="93" t="s">
        <v>113</v>
      </c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>
      <c r="A514" s="72">
        <v>2026.0</v>
      </c>
      <c r="B514" s="72">
        <v>4.0</v>
      </c>
      <c r="C514" s="72">
        <v>21.0</v>
      </c>
      <c r="D514" s="72" t="s">
        <v>60</v>
      </c>
      <c r="E514" s="124">
        <v>14825.0</v>
      </c>
      <c r="F514" s="125">
        <v>5.0</v>
      </c>
      <c r="G514" s="124">
        <v>74125.0</v>
      </c>
      <c r="H514" s="72" t="s">
        <v>7</v>
      </c>
      <c r="I514" s="72" t="s">
        <v>110</v>
      </c>
      <c r="J514" s="72" t="s">
        <v>111</v>
      </c>
      <c r="K514" s="72" t="s">
        <v>116</v>
      </c>
      <c r="L514" s="93" t="s">
        <v>113</v>
      </c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>
      <c r="A515" s="72">
        <v>2026.0</v>
      </c>
      <c r="B515" s="72">
        <v>4.0</v>
      </c>
      <c r="C515" s="72">
        <v>22.0</v>
      </c>
      <c r="D515" s="72" t="s">
        <v>26</v>
      </c>
      <c r="E515" s="124">
        <v>31490.0</v>
      </c>
      <c r="F515" s="125">
        <v>10.0</v>
      </c>
      <c r="G515" s="124">
        <v>314900.0</v>
      </c>
      <c r="H515" s="72" t="s">
        <v>7</v>
      </c>
      <c r="I515" s="72" t="s">
        <v>110</v>
      </c>
      <c r="J515" s="72" t="s">
        <v>125</v>
      </c>
      <c r="K515" s="72" t="s">
        <v>112</v>
      </c>
      <c r="L515" s="93" t="s">
        <v>113</v>
      </c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>
      <c r="A516" s="72">
        <v>2026.0</v>
      </c>
      <c r="B516" s="72">
        <v>4.0</v>
      </c>
      <c r="C516" s="72">
        <v>22.0</v>
      </c>
      <c r="D516" s="72" t="s">
        <v>34</v>
      </c>
      <c r="E516" s="124">
        <v>34850.0</v>
      </c>
      <c r="F516" s="125">
        <v>10.0</v>
      </c>
      <c r="G516" s="124">
        <v>348500.0</v>
      </c>
      <c r="H516" s="72" t="s">
        <v>7</v>
      </c>
      <c r="I516" s="72" t="s">
        <v>110</v>
      </c>
      <c r="J516" s="72" t="s">
        <v>125</v>
      </c>
      <c r="K516" s="72" t="s">
        <v>112</v>
      </c>
      <c r="L516" s="93" t="s">
        <v>113</v>
      </c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>
      <c r="A517" s="72">
        <v>2026.0</v>
      </c>
      <c r="B517" s="72">
        <v>4.0</v>
      </c>
      <c r="C517" s="72">
        <v>22.0</v>
      </c>
      <c r="D517" s="72" t="s">
        <v>23</v>
      </c>
      <c r="E517" s="124">
        <v>30000.0</v>
      </c>
      <c r="F517" s="125">
        <v>1.0</v>
      </c>
      <c r="G517" s="124">
        <v>30000.0</v>
      </c>
      <c r="H517" s="72" t="s">
        <v>7</v>
      </c>
      <c r="I517" s="72" t="s">
        <v>110</v>
      </c>
      <c r="J517" s="72" t="s">
        <v>125</v>
      </c>
      <c r="K517" s="72" t="s">
        <v>112</v>
      </c>
      <c r="L517" s="93" t="s">
        <v>113</v>
      </c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>
      <c r="A518" s="72">
        <v>2026.0</v>
      </c>
      <c r="B518" s="72">
        <v>4.0</v>
      </c>
      <c r="C518" s="72">
        <v>22.0</v>
      </c>
      <c r="D518" s="72" t="s">
        <v>77</v>
      </c>
      <c r="E518" s="124">
        <v>11640.0</v>
      </c>
      <c r="F518" s="125">
        <v>10.0</v>
      </c>
      <c r="G518" s="124">
        <v>116400.0</v>
      </c>
      <c r="H518" s="72" t="s">
        <v>7</v>
      </c>
      <c r="I518" s="72" t="s">
        <v>110</v>
      </c>
      <c r="J518" s="72" t="s">
        <v>125</v>
      </c>
      <c r="K518" s="72" t="s">
        <v>112</v>
      </c>
      <c r="L518" s="93" t="s">
        <v>113</v>
      </c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>
      <c r="A519" s="72">
        <v>2026.0</v>
      </c>
      <c r="B519" s="72">
        <v>4.0</v>
      </c>
      <c r="C519" s="72">
        <v>28.0</v>
      </c>
      <c r="D519" s="72" t="s">
        <v>23</v>
      </c>
      <c r="E519" s="124">
        <v>30745.0</v>
      </c>
      <c r="F519" s="125">
        <v>8.0</v>
      </c>
      <c r="G519" s="124">
        <v>245960.0</v>
      </c>
      <c r="H519" s="72" t="s">
        <v>7</v>
      </c>
      <c r="I519" s="72" t="s">
        <v>110</v>
      </c>
      <c r="J519" s="72" t="s">
        <v>125</v>
      </c>
      <c r="K519" s="72" t="s">
        <v>112</v>
      </c>
      <c r="L519" s="93" t="s">
        <v>113</v>
      </c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>
      <c r="A520" s="72">
        <v>2026.0</v>
      </c>
      <c r="B520" s="72">
        <v>4.0</v>
      </c>
      <c r="C520" s="72">
        <v>28.0</v>
      </c>
      <c r="D520" s="72" t="s">
        <v>34</v>
      </c>
      <c r="E520" s="124">
        <v>36310.0</v>
      </c>
      <c r="F520" s="125">
        <v>10.0</v>
      </c>
      <c r="G520" s="124">
        <v>363100.0</v>
      </c>
      <c r="H520" s="72" t="s">
        <v>7</v>
      </c>
      <c r="I520" s="72" t="s">
        <v>110</v>
      </c>
      <c r="J520" s="72" t="s">
        <v>125</v>
      </c>
      <c r="K520" s="72" t="s">
        <v>112</v>
      </c>
      <c r="L520" s="93" t="s">
        <v>113</v>
      </c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>
      <c r="A521" s="72">
        <v>2026.0</v>
      </c>
      <c r="B521" s="72">
        <v>4.0</v>
      </c>
      <c r="C521" s="72">
        <v>28.0</v>
      </c>
      <c r="D521" s="72" t="s">
        <v>77</v>
      </c>
      <c r="E521" s="124">
        <v>11750.0</v>
      </c>
      <c r="F521" s="125">
        <v>20.0</v>
      </c>
      <c r="G521" s="124">
        <v>235000.0</v>
      </c>
      <c r="H521" s="72" t="s">
        <v>7</v>
      </c>
      <c r="I521" s="72" t="s">
        <v>110</v>
      </c>
      <c r="J521" s="72" t="s">
        <v>125</v>
      </c>
      <c r="K521" s="72" t="s">
        <v>112</v>
      </c>
      <c r="L521" s="93" t="s">
        <v>113</v>
      </c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>
      <c r="A522" s="72">
        <v>2026.0</v>
      </c>
      <c r="B522" s="72">
        <v>4.0</v>
      </c>
      <c r="C522" s="72">
        <v>28.0</v>
      </c>
      <c r="D522" s="72" t="s">
        <v>26</v>
      </c>
      <c r="E522" s="124">
        <v>30790.0</v>
      </c>
      <c r="F522" s="125">
        <v>7.0</v>
      </c>
      <c r="G522" s="124">
        <v>215530.0</v>
      </c>
      <c r="H522" s="72" t="s">
        <v>7</v>
      </c>
      <c r="I522" s="72" t="s">
        <v>110</v>
      </c>
      <c r="J522" s="72" t="s">
        <v>125</v>
      </c>
      <c r="K522" s="72" t="s">
        <v>112</v>
      </c>
      <c r="L522" s="93" t="s">
        <v>113</v>
      </c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>
      <c r="A523" s="72">
        <v>2026.0</v>
      </c>
      <c r="B523" s="72">
        <v>4.0</v>
      </c>
      <c r="C523" s="72">
        <v>28.0</v>
      </c>
      <c r="D523" s="72" t="s">
        <v>6</v>
      </c>
      <c r="E523" s="124">
        <v>40600.0</v>
      </c>
      <c r="F523" s="125">
        <v>5.0</v>
      </c>
      <c r="G523" s="124">
        <v>203000.0</v>
      </c>
      <c r="H523" s="72" t="s">
        <v>7</v>
      </c>
      <c r="I523" s="72" t="s">
        <v>110</v>
      </c>
      <c r="J523" s="72" t="s">
        <v>125</v>
      </c>
      <c r="K523" s="72" t="s">
        <v>112</v>
      </c>
      <c r="L523" s="93" t="s">
        <v>113</v>
      </c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>
      <c r="A524" s="72">
        <v>2026.0</v>
      </c>
      <c r="B524" s="72">
        <v>4.0</v>
      </c>
      <c r="C524" s="72">
        <v>28.0</v>
      </c>
      <c r="D524" s="72" t="s">
        <v>6</v>
      </c>
      <c r="E524" s="124">
        <v>40600.0</v>
      </c>
      <c r="F524" s="125">
        <v>2.0</v>
      </c>
      <c r="G524" s="124">
        <v>81200.0</v>
      </c>
      <c r="H524" s="72" t="s">
        <v>7</v>
      </c>
      <c r="I524" s="72" t="s">
        <v>110</v>
      </c>
      <c r="J524" s="72" t="s">
        <v>119</v>
      </c>
      <c r="K524" s="72" t="s">
        <v>112</v>
      </c>
      <c r="L524" s="93" t="s">
        <v>113</v>
      </c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>
      <c r="A525" s="72">
        <v>2026.0</v>
      </c>
      <c r="B525" s="72">
        <v>4.0</v>
      </c>
      <c r="C525" s="72">
        <v>28.0</v>
      </c>
      <c r="D525" s="72" t="s">
        <v>26</v>
      </c>
      <c r="E525" s="124">
        <v>30800.0</v>
      </c>
      <c r="F525" s="125">
        <v>3.0</v>
      </c>
      <c r="G525" s="124">
        <v>92400.0</v>
      </c>
      <c r="H525" s="72" t="s">
        <v>7</v>
      </c>
      <c r="I525" s="72" t="s">
        <v>110</v>
      </c>
      <c r="J525" s="72" t="s">
        <v>119</v>
      </c>
      <c r="K525" s="72" t="s">
        <v>112</v>
      </c>
      <c r="L525" s="93" t="s">
        <v>113</v>
      </c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>
      <c r="A526" s="72">
        <v>2026.0</v>
      </c>
      <c r="B526" s="72">
        <v>4.0</v>
      </c>
      <c r="C526" s="72">
        <v>28.0</v>
      </c>
      <c r="D526" s="72" t="s">
        <v>14</v>
      </c>
      <c r="E526" s="124">
        <v>12800.0</v>
      </c>
      <c r="F526" s="125">
        <v>1.0</v>
      </c>
      <c r="G526" s="124">
        <v>12800.0</v>
      </c>
      <c r="H526" s="72" t="s">
        <v>7</v>
      </c>
      <c r="I526" s="72" t="s">
        <v>110</v>
      </c>
      <c r="J526" s="72" t="s">
        <v>119</v>
      </c>
      <c r="K526" s="72" t="s">
        <v>112</v>
      </c>
      <c r="L526" s="93" t="s">
        <v>113</v>
      </c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>
      <c r="A527" s="72">
        <v>2026.0</v>
      </c>
      <c r="B527" s="72">
        <v>5.0</v>
      </c>
      <c r="C527" s="72">
        <v>1.0</v>
      </c>
      <c r="D527" s="72" t="s">
        <v>11</v>
      </c>
      <c r="E527" s="126">
        <v>506.72</v>
      </c>
      <c r="F527" s="125">
        <v>0.398059</v>
      </c>
      <c r="G527" s="126">
        <v>201.70445648</v>
      </c>
      <c r="H527" s="72" t="s">
        <v>12</v>
      </c>
      <c r="I527" s="72" t="s">
        <v>110</v>
      </c>
      <c r="J527" s="72" t="s">
        <v>111</v>
      </c>
      <c r="K527" s="72" t="s">
        <v>116</v>
      </c>
      <c r="L527" s="93" t="s">
        <v>113</v>
      </c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>
      <c r="A528" s="72">
        <v>2026.0</v>
      </c>
      <c r="B528" s="72">
        <v>5.0</v>
      </c>
      <c r="C528" s="72">
        <v>1.0</v>
      </c>
      <c r="D528" s="72" t="s">
        <v>46</v>
      </c>
      <c r="E528" s="126">
        <v>662.11</v>
      </c>
      <c r="F528" s="125">
        <v>0.304312</v>
      </c>
      <c r="G528" s="126">
        <v>201.48801832</v>
      </c>
      <c r="H528" s="72" t="s">
        <v>12</v>
      </c>
      <c r="I528" s="72" t="s">
        <v>110</v>
      </c>
      <c r="J528" s="72" t="s">
        <v>111</v>
      </c>
      <c r="K528" s="72" t="s">
        <v>116</v>
      </c>
      <c r="L528" s="93" t="s">
        <v>113</v>
      </c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>
      <c r="A529" s="72">
        <v>2026.0</v>
      </c>
      <c r="B529" s="72">
        <v>5.0</v>
      </c>
      <c r="C529" s="72">
        <v>1.0</v>
      </c>
      <c r="D529" s="72" t="s">
        <v>50</v>
      </c>
      <c r="E529" s="126">
        <v>146.2</v>
      </c>
      <c r="F529" s="125">
        <v>1.384193</v>
      </c>
      <c r="G529" s="126">
        <v>202.36901659999998</v>
      </c>
      <c r="H529" s="72" t="s">
        <v>12</v>
      </c>
      <c r="I529" s="72" t="s">
        <v>110</v>
      </c>
      <c r="J529" s="72" t="s">
        <v>111</v>
      </c>
      <c r="K529" s="72" t="s">
        <v>116</v>
      </c>
      <c r="L529" s="93" t="s">
        <v>113</v>
      </c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>
      <c r="A530" s="72">
        <v>2026.0</v>
      </c>
      <c r="B530" s="72">
        <v>5.0</v>
      </c>
      <c r="C530" s="72">
        <v>1.0</v>
      </c>
      <c r="D530" s="72" t="s">
        <v>43</v>
      </c>
      <c r="E530" s="126">
        <v>64.31</v>
      </c>
      <c r="F530" s="125">
        <v>3.15199</v>
      </c>
      <c r="G530" s="126">
        <v>202.7044769</v>
      </c>
      <c r="H530" s="72" t="s">
        <v>12</v>
      </c>
      <c r="I530" s="72" t="s">
        <v>110</v>
      </c>
      <c r="J530" s="72" t="s">
        <v>111</v>
      </c>
      <c r="K530" s="72" t="s">
        <v>116</v>
      </c>
      <c r="L530" s="93" t="s">
        <v>113</v>
      </c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>
      <c r="A531" s="72">
        <v>2026.0</v>
      </c>
      <c r="B531" s="72">
        <v>5.0</v>
      </c>
      <c r="C531" s="72">
        <v>1.0</v>
      </c>
      <c r="D531" s="72" t="s">
        <v>43</v>
      </c>
      <c r="E531" s="126">
        <v>64.31</v>
      </c>
      <c r="F531" s="125">
        <v>3.15199</v>
      </c>
      <c r="G531" s="126">
        <v>202.7044769</v>
      </c>
      <c r="H531" s="72" t="s">
        <v>12</v>
      </c>
      <c r="I531" s="72" t="s">
        <v>110</v>
      </c>
      <c r="J531" s="72" t="s">
        <v>111</v>
      </c>
      <c r="K531" s="72" t="s">
        <v>116</v>
      </c>
      <c r="L531" s="93" t="s">
        <v>113</v>
      </c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>
      <c r="A532" s="72">
        <v>2026.0</v>
      </c>
      <c r="B532" s="72">
        <v>4.0</v>
      </c>
      <c r="C532" s="72">
        <v>28.0</v>
      </c>
      <c r="D532" s="72" t="s">
        <v>20</v>
      </c>
      <c r="E532" s="124">
        <v>14645.0</v>
      </c>
      <c r="F532" s="125">
        <v>3.0</v>
      </c>
      <c r="G532" s="124">
        <v>43935.0</v>
      </c>
      <c r="H532" s="72" t="s">
        <v>7</v>
      </c>
      <c r="I532" s="72" t="s">
        <v>110</v>
      </c>
      <c r="J532" s="72" t="s">
        <v>119</v>
      </c>
      <c r="K532" s="72" t="s">
        <v>112</v>
      </c>
      <c r="L532" s="93" t="s">
        <v>113</v>
      </c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</row>
  </sheetData>
  <autoFilter ref="$D$1:$D$79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10.25"/>
    <col customWidth="1" min="4" max="4" width="7.63"/>
    <col customWidth="1" min="5" max="5" width="9.38"/>
    <col customWidth="1" min="6" max="6" width="7.0"/>
    <col customWidth="1" min="7" max="8" width="9.38"/>
    <col customWidth="1" min="9" max="9" width="7.63"/>
    <col customWidth="1" min="10" max="10" width="10.75"/>
    <col customWidth="1" min="11" max="11" width="9.13"/>
    <col customWidth="1" min="12" max="12" width="9.5"/>
    <col customWidth="1" min="13" max="13" width="6.63"/>
  </cols>
  <sheetData>
    <row r="1">
      <c r="A1" s="64"/>
      <c r="B1" s="64">
        <f>IFERROR(__xludf.DUMMYFUNCTION("GOOGLEFINANCE(""CURRENCY:USDKRW"")"),1452.4850000000001)</f>
        <v>1452.485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>
      <c r="A2" s="109" t="s">
        <v>126</v>
      </c>
      <c r="B2" s="109" t="s">
        <v>1</v>
      </c>
      <c r="C2" s="109" t="s">
        <v>127</v>
      </c>
      <c r="D2" s="109" t="s">
        <v>128</v>
      </c>
      <c r="E2" s="109" t="s">
        <v>129</v>
      </c>
      <c r="F2" s="109" t="s">
        <v>130</v>
      </c>
      <c r="G2" s="109" t="s">
        <v>131</v>
      </c>
      <c r="H2" s="109" t="s">
        <v>132</v>
      </c>
      <c r="I2" s="109" t="s">
        <v>133</v>
      </c>
      <c r="J2" s="109" t="s">
        <v>134</v>
      </c>
      <c r="K2" s="109" t="s">
        <v>135</v>
      </c>
      <c r="L2" s="109" t="s">
        <v>136</v>
      </c>
      <c r="M2" s="109" t="s">
        <v>137</v>
      </c>
    </row>
    <row r="3">
      <c r="A3" s="127">
        <v>1.0</v>
      </c>
      <c r="B3" s="109" t="s">
        <v>37</v>
      </c>
      <c r="C3" s="128">
        <v>133.0</v>
      </c>
      <c r="D3" s="129">
        <v>64305.0</v>
      </c>
      <c r="E3" s="129">
        <v>8552510.0</v>
      </c>
      <c r="F3" s="65">
        <f>IFERROR(__xludf.DUMMYFUNCTION("IFERROR(GOOGLEFINANCE(""005930"", ""price""), NAVER_PRICE(""005930""))"),271000.0)</f>
        <v>271000</v>
      </c>
      <c r="G3" s="65">
        <f t="shared" ref="G3:G37" si="1">F3*C3</f>
        <v>36043000</v>
      </c>
      <c r="H3" s="65">
        <f t="shared" ref="H3:H37" si="2">G3-E3</f>
        <v>27490490</v>
      </c>
      <c r="I3" s="130">
        <f t="shared" ref="I3:I37" si="3">IF(E3&gt;0, H3/E3, 0)</f>
        <v>3.21431837</v>
      </c>
      <c r="J3" s="131">
        <v>5901.25</v>
      </c>
      <c r="K3" s="132">
        <f t="shared" ref="K3:K4" si="4">G3/1449.27</f>
        <v>24869.76202</v>
      </c>
      <c r="L3" s="65">
        <f t="shared" ref="L3:L4" si="5">G3</f>
        <v>36043000</v>
      </c>
      <c r="M3" s="130">
        <f>IFERROR(L3/(SUM(L3:L37)), 0)</f>
        <v>0.1484980712</v>
      </c>
    </row>
    <row r="4">
      <c r="A4" s="127">
        <v>2.0</v>
      </c>
      <c r="B4" s="109" t="s">
        <v>39</v>
      </c>
      <c r="C4" s="128">
        <v>34.0</v>
      </c>
      <c r="D4" s="129">
        <v>52668.0</v>
      </c>
      <c r="E4" s="129">
        <v>1790697.0</v>
      </c>
      <c r="F4" s="65">
        <f>IFERROR(__xludf.DUMMYFUNCTION("IFERROR(GOOGLEFINANCE(""005935"", ""price""), NAVER_PRICE(""005935""))"),185250.0)</f>
        <v>185250</v>
      </c>
      <c r="G4" s="65">
        <f t="shared" si="1"/>
        <v>6298500</v>
      </c>
      <c r="H4" s="65">
        <f t="shared" si="2"/>
        <v>4507803</v>
      </c>
      <c r="I4" s="130">
        <f t="shared" si="3"/>
        <v>2.517345481</v>
      </c>
      <c r="J4" s="131">
        <v>1235.59</v>
      </c>
      <c r="K4" s="132">
        <f t="shared" si="4"/>
        <v>4345.98108</v>
      </c>
      <c r="L4" s="65">
        <f t="shared" si="5"/>
        <v>6298500</v>
      </c>
      <c r="M4" s="130">
        <f>IFERROR(L4/(SUM(L3:L37)), 0)</f>
        <v>0.02594997922</v>
      </c>
    </row>
    <row r="5">
      <c r="A5" s="127">
        <v>3.0</v>
      </c>
      <c r="B5" s="109" t="s">
        <v>63</v>
      </c>
      <c r="C5" s="128">
        <v>110.0</v>
      </c>
      <c r="D5" s="133">
        <v>51.47</v>
      </c>
      <c r="E5" s="133">
        <v>5661.73</v>
      </c>
      <c r="F5" s="132">
        <f>IFERROR(__xludf.DUMMYFUNCTION("IFERROR(GOOGLEFINANCE(""KO"", ""price""), NAVER_PRICE(""KO""))"),79.23)</f>
        <v>79.23</v>
      </c>
      <c r="G5" s="132">
        <f t="shared" si="1"/>
        <v>8715.3</v>
      </c>
      <c r="H5" s="132">
        <f t="shared" si="2"/>
        <v>3053.57</v>
      </c>
      <c r="I5" s="130">
        <f t="shared" si="3"/>
        <v>0.5393351502</v>
      </c>
      <c r="J5" s="131">
        <v>5661.73</v>
      </c>
      <c r="K5" s="131">
        <v>8715.3</v>
      </c>
      <c r="L5" s="65">
        <f t="shared" ref="L5:L7" si="6">K5*1449.27</f>
        <v>12630822.83</v>
      </c>
      <c r="M5" s="130">
        <f>IFERROR(L5/(SUM(L3:L37)), 0)</f>
        <v>0.05203930937</v>
      </c>
    </row>
    <row r="6">
      <c r="A6" s="127">
        <v>4.0</v>
      </c>
      <c r="B6" s="109" t="s">
        <v>71</v>
      </c>
      <c r="C6" s="128">
        <v>31.0</v>
      </c>
      <c r="D6" s="133">
        <v>95.3</v>
      </c>
      <c r="E6" s="133">
        <v>2954.44</v>
      </c>
      <c r="F6" s="132">
        <f>IFERROR(__xludf.DUMMYFUNCTION("IFERROR(GOOGLEFINANCE(""VYM"", ""price""), NAVER_PRICE(""VYM""))"),156.95)</f>
        <v>156.95</v>
      </c>
      <c r="G6" s="132">
        <f t="shared" si="1"/>
        <v>4865.45</v>
      </c>
      <c r="H6" s="132">
        <f t="shared" si="2"/>
        <v>1911.01</v>
      </c>
      <c r="I6" s="130">
        <f t="shared" si="3"/>
        <v>0.6468264713</v>
      </c>
      <c r="J6" s="131">
        <v>2954.44</v>
      </c>
      <c r="K6" s="131">
        <v>4865.45</v>
      </c>
      <c r="L6" s="65">
        <f t="shared" si="6"/>
        <v>7051350.722</v>
      </c>
      <c r="M6" s="130">
        <f>IFERROR(L6/(SUM(L3:L37)), 0)</f>
        <v>0.02905174323</v>
      </c>
    </row>
    <row r="7">
      <c r="A7" s="127">
        <v>5.0</v>
      </c>
      <c r="B7" s="109" t="s">
        <v>79</v>
      </c>
      <c r="C7" s="128">
        <v>23.417130000000004</v>
      </c>
      <c r="D7" s="133">
        <v>143.83</v>
      </c>
      <c r="E7" s="133">
        <v>3368.17</v>
      </c>
      <c r="F7" s="132">
        <f>IFERROR(__xludf.DUMMYFUNCTION("IFERROR(GOOGLEFINANCE(""AAPL"", ""price""), NAVER_PRICE(""AAPL""))"),287.51)</f>
        <v>287.51</v>
      </c>
      <c r="G7" s="132">
        <f t="shared" si="1"/>
        <v>6732.659046</v>
      </c>
      <c r="H7" s="132">
        <f t="shared" si="2"/>
        <v>3364.489046</v>
      </c>
      <c r="I7" s="130">
        <f t="shared" si="3"/>
        <v>0.9989071354</v>
      </c>
      <c r="J7" s="131">
        <v>3368.17</v>
      </c>
      <c r="K7" s="131">
        <v>6731.49</v>
      </c>
      <c r="L7" s="65">
        <f t="shared" si="6"/>
        <v>9755746.512</v>
      </c>
      <c r="M7" s="130">
        <f>IFERROR(L7/(SUM(L3:L37)), 0)</f>
        <v>0.04019392225</v>
      </c>
    </row>
    <row r="8">
      <c r="A8" s="127">
        <v>6.0</v>
      </c>
      <c r="B8" s="109" t="s">
        <v>81</v>
      </c>
      <c r="C8" s="128">
        <v>95.0</v>
      </c>
      <c r="D8" s="129">
        <v>17895.0</v>
      </c>
      <c r="E8" s="129">
        <v>1700055.0</v>
      </c>
      <c r="F8" s="65">
        <f>IFERROR(__xludf.DUMMYFUNCTION("IFERROR(GOOGLEFINANCE(""157490"", ""price""), NAVER_PRICE(""157490""))"),9080.0)</f>
        <v>9080</v>
      </c>
      <c r="G8" s="65">
        <f t="shared" si="1"/>
        <v>862600</v>
      </c>
      <c r="H8" s="65">
        <f t="shared" si="2"/>
        <v>-837455</v>
      </c>
      <c r="I8" s="130">
        <f t="shared" si="3"/>
        <v>-0.492604651</v>
      </c>
      <c r="J8" s="131">
        <v>1173.04</v>
      </c>
      <c r="K8" s="132">
        <f t="shared" ref="K8:K9" si="7">G8/1449.27</f>
        <v>595.1962022</v>
      </c>
      <c r="L8" s="65">
        <f t="shared" ref="L8:L9" si="8">G8</f>
        <v>862600</v>
      </c>
      <c r="M8" s="130">
        <f>IFERROR(L8/(SUM(L3:L37)), 0)</f>
        <v>0.003553933806</v>
      </c>
    </row>
    <row r="9">
      <c r="A9" s="127">
        <v>7.0</v>
      </c>
      <c r="B9" s="109" t="s">
        <v>90</v>
      </c>
      <c r="C9" s="128">
        <v>3.0</v>
      </c>
      <c r="D9" s="129">
        <v>177500.0</v>
      </c>
      <c r="E9" s="129">
        <v>532500.0</v>
      </c>
      <c r="F9" s="65">
        <f>IFERROR(__xludf.DUMMYFUNCTION("IFERROR(GOOGLEFINANCE(""139480"", ""price""), NAVER_PRICE(""139480""))"),108100.0)</f>
        <v>108100</v>
      </c>
      <c r="G9" s="65">
        <f t="shared" si="1"/>
        <v>324300</v>
      </c>
      <c r="H9" s="65">
        <f t="shared" si="2"/>
        <v>-208200</v>
      </c>
      <c r="I9" s="130">
        <f t="shared" si="3"/>
        <v>-0.3909859155</v>
      </c>
      <c r="J9" s="131">
        <v>367.43</v>
      </c>
      <c r="K9" s="132">
        <f t="shared" si="7"/>
        <v>223.7678279</v>
      </c>
      <c r="L9" s="65">
        <f t="shared" si="8"/>
        <v>324300</v>
      </c>
      <c r="M9" s="130">
        <f>IFERROR(L9/(SUM(L3:L37)), 0)</f>
        <v>0.001336124198</v>
      </c>
    </row>
    <row r="10">
      <c r="A10" s="127">
        <v>8.0</v>
      </c>
      <c r="B10" s="109" t="s">
        <v>85</v>
      </c>
      <c r="C10" s="128">
        <v>83.032213</v>
      </c>
      <c r="D10" s="133">
        <v>38.17</v>
      </c>
      <c r="E10" s="133">
        <v>3169.23</v>
      </c>
      <c r="F10" s="132">
        <f>IFERROR(__xludf.DUMMYFUNCTION("IFERROR(GOOGLEFINANCE(""PFE"", ""price""), NAVER_PRICE(""PFE""))"),26.53)</f>
        <v>26.53</v>
      </c>
      <c r="G10" s="132">
        <f t="shared" si="1"/>
        <v>2202.844611</v>
      </c>
      <c r="H10" s="132">
        <f t="shared" si="2"/>
        <v>-966.3853891</v>
      </c>
      <c r="I10" s="130">
        <f t="shared" si="3"/>
        <v>-0.3049275026</v>
      </c>
      <c r="J10" s="131">
        <v>3169.23</v>
      </c>
      <c r="K10" s="131">
        <v>2202.84</v>
      </c>
      <c r="L10" s="65">
        <f t="shared" ref="L10:L11" si="9">K10*1449.27</f>
        <v>3192509.927</v>
      </c>
      <c r="M10" s="130">
        <f>IFERROR(L10/(SUM(L3:L37)), 0)</f>
        <v>0.0131532216</v>
      </c>
    </row>
    <row r="11">
      <c r="A11" s="127">
        <v>9.0</v>
      </c>
      <c r="B11" s="109" t="s">
        <v>11</v>
      </c>
      <c r="C11" s="128">
        <v>54.109350000000006</v>
      </c>
      <c r="D11" s="133">
        <v>200.43</v>
      </c>
      <c r="E11" s="133">
        <v>10845.3</v>
      </c>
      <c r="F11" s="132">
        <f>IFERROR(__xludf.DUMMYFUNCTION("IFERROR(GOOGLEFINANCE(""SMH"", ""price""), NAVER_PRICE(""SMH""))"),549.76)</f>
        <v>549.76</v>
      </c>
      <c r="G11" s="132">
        <f t="shared" si="1"/>
        <v>29747.15626</v>
      </c>
      <c r="H11" s="132">
        <f t="shared" si="2"/>
        <v>18901.85626</v>
      </c>
      <c r="I11" s="130">
        <f t="shared" si="3"/>
        <v>1.74286154</v>
      </c>
      <c r="J11" s="131">
        <v>10845.3</v>
      </c>
      <c r="K11" s="131">
        <v>29747.16</v>
      </c>
      <c r="L11" s="65">
        <f t="shared" si="9"/>
        <v>43111666.57</v>
      </c>
      <c r="M11" s="130">
        <f>IFERROR(L11/(SUM(L3:L37)), 0)</f>
        <v>0.1776211561</v>
      </c>
    </row>
    <row r="12">
      <c r="A12" s="127">
        <v>10.0</v>
      </c>
      <c r="B12" s="109" t="s">
        <v>32</v>
      </c>
      <c r="C12" s="128">
        <v>177.0</v>
      </c>
      <c r="D12" s="129">
        <v>18463.0</v>
      </c>
      <c r="E12" s="129">
        <v>3267875.0</v>
      </c>
      <c r="F12" s="65">
        <f>IFERROR(__xludf.DUMMYFUNCTION("IFERROR(GOOGLEFINANCE(""379800"", ""price""), NAVER_PRICE(""379800""))"),24205.0)</f>
        <v>24205</v>
      </c>
      <c r="G12" s="65">
        <f t="shared" si="1"/>
        <v>4284285</v>
      </c>
      <c r="H12" s="65">
        <f t="shared" si="2"/>
        <v>1016410</v>
      </c>
      <c r="I12" s="130">
        <f t="shared" si="3"/>
        <v>0.3110308687</v>
      </c>
      <c r="J12" s="131">
        <v>2254.84</v>
      </c>
      <c r="K12" s="132">
        <f>G12/1449.27</f>
        <v>2956.167588</v>
      </c>
      <c r="L12" s="65">
        <f>G12</f>
        <v>4284285</v>
      </c>
      <c r="M12" s="130">
        <f>IFERROR(L12/(SUM(L3:L37)), 0)</f>
        <v>0.01765136251</v>
      </c>
    </row>
    <row r="13">
      <c r="A13" s="127">
        <v>11.0</v>
      </c>
      <c r="B13" s="109" t="s">
        <v>41</v>
      </c>
      <c r="C13" s="128">
        <v>14.672885</v>
      </c>
      <c r="D13" s="133">
        <v>352.19</v>
      </c>
      <c r="E13" s="133">
        <v>5167.65</v>
      </c>
      <c r="F13" s="132">
        <f>IFERROR(__xludf.DUMMYFUNCTION("IFERROR(GOOGLEFINANCE(""MSFT"", ""price""), NAVER_PRICE(""MSFT""))"),413.96)</f>
        <v>413.96</v>
      </c>
      <c r="G13" s="132">
        <f t="shared" si="1"/>
        <v>6073.987475</v>
      </c>
      <c r="H13" s="132">
        <f t="shared" si="2"/>
        <v>906.3374746</v>
      </c>
      <c r="I13" s="130">
        <f t="shared" si="3"/>
        <v>0.1753867763</v>
      </c>
      <c r="J13" s="131">
        <v>5167.65</v>
      </c>
      <c r="K13" s="131">
        <v>6072.67</v>
      </c>
      <c r="L13" s="65">
        <f t="shared" ref="L13:L15" si="10">K13*1449.27</f>
        <v>8800938.451</v>
      </c>
      <c r="M13" s="130">
        <f>IFERROR(L13/(SUM(L3:L37)), 0)</f>
        <v>0.0362600889</v>
      </c>
    </row>
    <row r="14">
      <c r="A14" s="127">
        <v>12.0</v>
      </c>
      <c r="B14" s="109" t="s">
        <v>73</v>
      </c>
      <c r="C14" s="128">
        <v>3.0</v>
      </c>
      <c r="D14" s="133">
        <v>150.75</v>
      </c>
      <c r="E14" s="133">
        <v>452.26</v>
      </c>
      <c r="F14" s="132">
        <f>IFERROR(__xludf.DUMMYFUNCTION("IFERROR(GOOGLEFINANCE(""SOXX"", ""price""), NAVER_PRICE(""SOXX""))"),506.87)</f>
        <v>506.87</v>
      </c>
      <c r="G14" s="132">
        <f t="shared" si="1"/>
        <v>1520.61</v>
      </c>
      <c r="H14" s="132">
        <f t="shared" si="2"/>
        <v>1068.35</v>
      </c>
      <c r="I14" s="130">
        <f t="shared" si="3"/>
        <v>2.36224738</v>
      </c>
      <c r="J14" s="131">
        <v>452.26</v>
      </c>
      <c r="K14" s="131">
        <v>1520.61</v>
      </c>
      <c r="L14" s="65">
        <f t="shared" si="10"/>
        <v>2203774.455</v>
      </c>
      <c r="M14" s="130">
        <f>IFERROR(L14/(SUM(L3:L37)), 0)</f>
        <v>0.009079606464</v>
      </c>
    </row>
    <row r="15">
      <c r="A15" s="127">
        <v>13.0</v>
      </c>
      <c r="B15" s="109" t="s">
        <v>43</v>
      </c>
      <c r="C15" s="128">
        <v>92.92874</v>
      </c>
      <c r="D15" s="133">
        <v>58.1</v>
      </c>
      <c r="E15" s="133">
        <v>5398.74</v>
      </c>
      <c r="F15" s="132">
        <f>IFERROR(__xludf.DUMMYFUNCTION("IFERROR(GOOGLEFINANCE(""O"", ""price""), NAVER_PRICE(""O""))"),64.01)</f>
        <v>64.01</v>
      </c>
      <c r="G15" s="132">
        <f t="shared" si="1"/>
        <v>5948.368647</v>
      </c>
      <c r="H15" s="132">
        <f t="shared" si="2"/>
        <v>549.6286474</v>
      </c>
      <c r="I15" s="130">
        <f t="shared" si="3"/>
        <v>0.1018068378</v>
      </c>
      <c r="J15" s="131">
        <v>5398.74</v>
      </c>
      <c r="K15" s="131">
        <v>5948.37</v>
      </c>
      <c r="L15" s="65">
        <f t="shared" si="10"/>
        <v>8620794.19</v>
      </c>
      <c r="M15" s="130">
        <f>IFERROR(L15/(SUM(L3:L37)), 0)</f>
        <v>0.03551788999</v>
      </c>
    </row>
    <row r="16">
      <c r="A16" s="127">
        <v>14.0</v>
      </c>
      <c r="B16" s="109" t="s">
        <v>34</v>
      </c>
      <c r="C16" s="128">
        <v>396.0</v>
      </c>
      <c r="D16" s="129">
        <v>20638.0</v>
      </c>
      <c r="E16" s="129">
        <v>8172845.0</v>
      </c>
      <c r="F16" s="65">
        <f>IFERROR(__xludf.DUMMYFUNCTION("IFERROR(GOOGLEFINANCE(""278530"", ""price""), NAVER_PRICE(""278530""))"),41750.0)</f>
        <v>41750</v>
      </c>
      <c r="G16" s="65">
        <f t="shared" si="1"/>
        <v>16533000</v>
      </c>
      <c r="H16" s="65">
        <f t="shared" si="2"/>
        <v>8360155</v>
      </c>
      <c r="I16" s="130">
        <f t="shared" si="3"/>
        <v>1.02291858</v>
      </c>
      <c r="J16" s="131">
        <v>5639.28</v>
      </c>
      <c r="K16" s="132">
        <f>G16/1449.27</f>
        <v>11407.81221</v>
      </c>
      <c r="L16" s="65">
        <f>G16</f>
        <v>16533000</v>
      </c>
      <c r="M16" s="130">
        <f>IFERROR(L16/(SUM(L3:L37)), 0)</f>
        <v>0.06811637795</v>
      </c>
    </row>
    <row r="17">
      <c r="A17" s="127">
        <v>15.0</v>
      </c>
      <c r="B17" s="109" t="s">
        <v>69</v>
      </c>
      <c r="C17" s="128">
        <v>5.0</v>
      </c>
      <c r="D17" s="133">
        <v>82.06</v>
      </c>
      <c r="E17" s="133">
        <v>410.3</v>
      </c>
      <c r="F17" s="132">
        <f>IFERROR(__xludf.DUMMYFUNCTION("IFERROR(GOOGLEFINANCE(""TSM"", ""price""), NAVER_PRICE(""TSM""))"),419.5)</f>
        <v>419.5</v>
      </c>
      <c r="G17" s="132">
        <f t="shared" si="1"/>
        <v>2097.5</v>
      </c>
      <c r="H17" s="132">
        <f t="shared" si="2"/>
        <v>1687.2</v>
      </c>
      <c r="I17" s="130">
        <f t="shared" si="3"/>
        <v>4.112113088</v>
      </c>
      <c r="J17" s="131">
        <v>410.3</v>
      </c>
      <c r="K17" s="131">
        <v>2097.5</v>
      </c>
      <c r="L17" s="65">
        <f>K17*1449.27</f>
        <v>3039843.825</v>
      </c>
      <c r="M17" s="130">
        <f>IFERROR(L17/(SUM(L3:L37)), 0)</f>
        <v>0.01252423341</v>
      </c>
    </row>
    <row r="18">
      <c r="A18" s="127">
        <v>16.0</v>
      </c>
      <c r="B18" s="109" t="s">
        <v>83</v>
      </c>
      <c r="C18" s="128">
        <v>8.0</v>
      </c>
      <c r="D18" s="129">
        <v>371250.0</v>
      </c>
      <c r="E18" s="129">
        <v>2970000.0</v>
      </c>
      <c r="F18" s="65">
        <f>IFERROR(__xludf.DUMMYFUNCTION("IFERROR(GOOGLEFINANCE(""005490"", ""price""), NAVER_PRICE(""005490""))"),535000.0)</f>
        <v>535000</v>
      </c>
      <c r="G18" s="65">
        <f t="shared" si="1"/>
        <v>4280000</v>
      </c>
      <c r="H18" s="65">
        <f t="shared" si="2"/>
        <v>1310000</v>
      </c>
      <c r="I18" s="130">
        <f t="shared" si="3"/>
        <v>0.4410774411</v>
      </c>
      <c r="J18" s="131">
        <v>2049.31</v>
      </c>
      <c r="K18" s="132">
        <f t="shared" ref="K18:K19" si="11">G18/1449.27</f>
        <v>2953.210927</v>
      </c>
      <c r="L18" s="65">
        <f t="shared" ref="L18:L19" si="12">G18</f>
        <v>4280000</v>
      </c>
      <c r="M18" s="130">
        <f>IFERROR(L18/(SUM(L3:L37)), 0)</f>
        <v>0.0176337082</v>
      </c>
    </row>
    <row r="19">
      <c r="A19" s="127">
        <v>17.0</v>
      </c>
      <c r="B19" s="109" t="s">
        <v>65</v>
      </c>
      <c r="C19" s="128">
        <v>15.0</v>
      </c>
      <c r="D19" s="129">
        <v>47533.0</v>
      </c>
      <c r="E19" s="129">
        <v>713000.0</v>
      </c>
      <c r="F19" s="65">
        <f>IFERROR(__xludf.DUMMYFUNCTION("IFERROR(GOOGLEFINANCE(""105560"", ""price""), NAVER_PRICE(""105560""))"),161200.0)</f>
        <v>161200</v>
      </c>
      <c r="G19" s="65">
        <f t="shared" si="1"/>
        <v>2418000</v>
      </c>
      <c r="H19" s="65">
        <f t="shared" si="2"/>
        <v>1705000</v>
      </c>
      <c r="I19" s="130">
        <f t="shared" si="3"/>
        <v>2.391304348</v>
      </c>
      <c r="J19" s="131">
        <v>491.97</v>
      </c>
      <c r="K19" s="132">
        <f t="shared" si="11"/>
        <v>1668.426173</v>
      </c>
      <c r="L19" s="65">
        <f t="shared" si="12"/>
        <v>2418000</v>
      </c>
      <c r="M19" s="130">
        <f>IFERROR(L19/(SUM(L3:L37)), 0)</f>
        <v>0.009962221126</v>
      </c>
    </row>
    <row r="20">
      <c r="A20" s="127">
        <v>18.0</v>
      </c>
      <c r="B20" s="109" t="s">
        <v>46</v>
      </c>
      <c r="C20" s="128">
        <v>11.217872</v>
      </c>
      <c r="D20" s="133">
        <v>536.22</v>
      </c>
      <c r="E20" s="133">
        <v>6015.28</v>
      </c>
      <c r="F20" s="132">
        <f>IFERROR(__xludf.DUMMYFUNCTION("IFERROR(GOOGLEFINANCE(""VOO"", ""price""), NAVER_PRICE(""VOO""))"),674.66)</f>
        <v>674.66</v>
      </c>
      <c r="G20" s="132">
        <f t="shared" si="1"/>
        <v>7568.249524</v>
      </c>
      <c r="H20" s="132">
        <f t="shared" si="2"/>
        <v>1552.969524</v>
      </c>
      <c r="I20" s="130">
        <f t="shared" si="3"/>
        <v>0.258170779</v>
      </c>
      <c r="J20" s="131">
        <v>6015.28</v>
      </c>
      <c r="K20" s="131">
        <v>7568.25</v>
      </c>
      <c r="L20" s="65">
        <f>K20*1449.27</f>
        <v>10968437.68</v>
      </c>
      <c r="M20" s="130">
        <f>IFERROR(L20/(SUM(L3:L37)), 0)</f>
        <v>0.04519024051</v>
      </c>
    </row>
    <row r="21">
      <c r="A21" s="127">
        <v>19.0</v>
      </c>
      <c r="B21" s="109" t="s">
        <v>20</v>
      </c>
      <c r="C21" s="128">
        <v>199.0</v>
      </c>
      <c r="D21" s="129">
        <v>11792.0</v>
      </c>
      <c r="E21" s="129">
        <v>2346695.0</v>
      </c>
      <c r="F21" s="65">
        <f>IFERROR(__xludf.DUMMYFUNCTION("IFERROR(GOOGLEFINANCE(""458730"", ""price""), NAVER_PRICE(""458730""))"),14620.0)</f>
        <v>14620</v>
      </c>
      <c r="G21" s="65">
        <f t="shared" si="1"/>
        <v>2909380</v>
      </c>
      <c r="H21" s="65">
        <f t="shared" si="2"/>
        <v>562685</v>
      </c>
      <c r="I21" s="130">
        <f t="shared" si="3"/>
        <v>0.2397776447</v>
      </c>
      <c r="J21" s="131">
        <v>1619.23</v>
      </c>
      <c r="K21" s="132">
        <f t="shared" ref="K21:K27" si="13">G21/1449.27</f>
        <v>2007.479628</v>
      </c>
      <c r="L21" s="65">
        <f t="shared" ref="L21:L27" si="14">G21</f>
        <v>2909380</v>
      </c>
      <c r="M21" s="130">
        <f>IFERROR(L21/(SUM(L3:L37)), 0)</f>
        <v>0.01198671915</v>
      </c>
    </row>
    <row r="22">
      <c r="A22" s="127">
        <v>20.0</v>
      </c>
      <c r="B22" s="109" t="s">
        <v>26</v>
      </c>
      <c r="C22" s="128">
        <v>256.0</v>
      </c>
      <c r="D22" s="129">
        <v>20719.0</v>
      </c>
      <c r="E22" s="129">
        <v>5303960.0</v>
      </c>
      <c r="F22" s="65">
        <f>IFERROR(__xludf.DUMMYFUNCTION("IFERROR(GOOGLEFINANCE(""411060"", ""price""), NAVER_PRICE(""411060""))"),30815.0)</f>
        <v>30815</v>
      </c>
      <c r="G22" s="65">
        <f t="shared" si="1"/>
        <v>7888640</v>
      </c>
      <c r="H22" s="65">
        <f t="shared" si="2"/>
        <v>2584680</v>
      </c>
      <c r="I22" s="130">
        <f t="shared" si="3"/>
        <v>0.4873113674</v>
      </c>
      <c r="J22" s="131">
        <v>3659.75</v>
      </c>
      <c r="K22" s="132">
        <f t="shared" si="13"/>
        <v>5443.18174</v>
      </c>
      <c r="L22" s="65">
        <f t="shared" si="14"/>
        <v>7888640</v>
      </c>
      <c r="M22" s="130">
        <f>IFERROR(L22/(SUM(L3:L37)), 0)</f>
        <v>0.03250139622</v>
      </c>
    </row>
    <row r="23">
      <c r="A23" s="127">
        <v>21.0</v>
      </c>
      <c r="B23" s="109" t="s">
        <v>6</v>
      </c>
      <c r="C23" s="128">
        <v>268.0</v>
      </c>
      <c r="D23" s="129">
        <v>19725.0</v>
      </c>
      <c r="E23" s="129">
        <v>5286210.0</v>
      </c>
      <c r="F23" s="65">
        <f>IFERROR(__xludf.DUMMYFUNCTION("IFERROR(GOOGLEFINANCE(""381180"", ""price""), NAVER_PRICE(""381180""))"),43465.0)</f>
        <v>43465</v>
      </c>
      <c r="G23" s="65">
        <f t="shared" si="1"/>
        <v>11648620</v>
      </c>
      <c r="H23" s="65">
        <f t="shared" si="2"/>
        <v>6362410</v>
      </c>
      <c r="I23" s="130">
        <f t="shared" si="3"/>
        <v>1.203586312</v>
      </c>
      <c r="J23" s="131">
        <v>3647.5</v>
      </c>
      <c r="K23" s="132">
        <f t="shared" si="13"/>
        <v>8037.577539</v>
      </c>
      <c r="L23" s="65">
        <f t="shared" si="14"/>
        <v>11648620</v>
      </c>
      <c r="M23" s="130">
        <f>IFERROR(L23/(SUM(L3:L37)), 0)</f>
        <v>0.04799260887</v>
      </c>
    </row>
    <row r="24">
      <c r="A24" s="127">
        <v>22.0</v>
      </c>
      <c r="B24" s="109" t="s">
        <v>17</v>
      </c>
      <c r="C24" s="128">
        <v>224.0</v>
      </c>
      <c r="D24" s="129">
        <v>19096.0</v>
      </c>
      <c r="E24" s="129">
        <v>4277400.0</v>
      </c>
      <c r="F24" s="65">
        <f>IFERROR(__xludf.DUMMYFUNCTION("IFERROR(GOOGLEFINANCE(""360750"", ""price""), NAVER_PRICE(""360750""))"),26545.0)</f>
        <v>26545</v>
      </c>
      <c r="G24" s="65">
        <f t="shared" si="1"/>
        <v>5946080</v>
      </c>
      <c r="H24" s="65">
        <f t="shared" si="2"/>
        <v>1668680</v>
      </c>
      <c r="I24" s="130">
        <f t="shared" si="3"/>
        <v>0.3901154907</v>
      </c>
      <c r="J24" s="131">
        <v>2951.42</v>
      </c>
      <c r="K24" s="132">
        <f t="shared" si="13"/>
        <v>4102.81038</v>
      </c>
      <c r="L24" s="65">
        <f t="shared" si="14"/>
        <v>5946080</v>
      </c>
      <c r="M24" s="130">
        <f>IFERROR(L24/(SUM(L3:L37)), 0)</f>
        <v>0.02449799992</v>
      </c>
    </row>
    <row r="25">
      <c r="A25" s="127">
        <v>23.0</v>
      </c>
      <c r="B25" s="109" t="s">
        <v>23</v>
      </c>
      <c r="C25" s="128">
        <v>305.0</v>
      </c>
      <c r="D25" s="129">
        <v>23467.0</v>
      </c>
      <c r="E25" s="129">
        <v>7157395.0</v>
      </c>
      <c r="F25" s="65">
        <f>IFERROR(__xludf.DUMMYFUNCTION("IFERROR(GOOGLEFINANCE(""367380"", ""price""), NAVER_PRICE(""367380""))"),31645.0)</f>
        <v>31645</v>
      </c>
      <c r="G25" s="65">
        <f t="shared" si="1"/>
        <v>9651725</v>
      </c>
      <c r="H25" s="65">
        <f t="shared" si="2"/>
        <v>2494330</v>
      </c>
      <c r="I25" s="130">
        <f t="shared" si="3"/>
        <v>0.3484969043</v>
      </c>
      <c r="J25" s="131">
        <v>4938.62</v>
      </c>
      <c r="K25" s="132">
        <f t="shared" si="13"/>
        <v>6659.714891</v>
      </c>
      <c r="L25" s="65">
        <f t="shared" si="14"/>
        <v>9651725</v>
      </c>
      <c r="M25" s="130">
        <f>IFERROR(L25/(SUM(L3:L37)), 0)</f>
        <v>0.03976535099</v>
      </c>
    </row>
    <row r="26">
      <c r="A26" s="127">
        <v>24.0</v>
      </c>
      <c r="B26" s="109" t="s">
        <v>14</v>
      </c>
      <c r="C26" s="128">
        <v>267.0</v>
      </c>
      <c r="D26" s="129">
        <v>11542.0</v>
      </c>
      <c r="E26" s="129">
        <v>3081625.0</v>
      </c>
      <c r="F26" s="65">
        <f>IFERROR(__xludf.DUMMYFUNCTION("IFERROR(GOOGLEFINANCE(""456880"", ""price""), NAVER_PRICE(""456880""))"),12630.0)</f>
        <v>12630</v>
      </c>
      <c r="G26" s="65">
        <f t="shared" si="1"/>
        <v>3372210</v>
      </c>
      <c r="H26" s="65">
        <f t="shared" si="2"/>
        <v>290585</v>
      </c>
      <c r="I26" s="130">
        <f t="shared" si="3"/>
        <v>0.09429602888</v>
      </c>
      <c r="J26" s="131">
        <v>2126.33</v>
      </c>
      <c r="K26" s="132">
        <f t="shared" si="13"/>
        <v>2326.833509</v>
      </c>
      <c r="L26" s="65">
        <f t="shared" si="14"/>
        <v>3372210</v>
      </c>
      <c r="M26" s="130">
        <f>IFERROR(L26/(SUM(L3:L37)), 0)</f>
        <v>0.01389359045</v>
      </c>
    </row>
    <row r="27">
      <c r="A27" s="127">
        <v>25.0</v>
      </c>
      <c r="B27" s="109" t="s">
        <v>29</v>
      </c>
      <c r="C27" s="128">
        <v>167.0</v>
      </c>
      <c r="D27" s="129">
        <v>12503.0</v>
      </c>
      <c r="E27" s="129">
        <v>2087990.0</v>
      </c>
      <c r="F27" s="65">
        <f>IFERROR(__xludf.DUMMYFUNCTION("IFERROR(GOOGLEFINANCE(""305080"", ""price""), NAVER_PRICE(""305080""))"),13150.0)</f>
        <v>13150</v>
      </c>
      <c r="G27" s="65">
        <f t="shared" si="1"/>
        <v>2196050</v>
      </c>
      <c r="H27" s="65">
        <f t="shared" si="2"/>
        <v>108060</v>
      </c>
      <c r="I27" s="130">
        <f t="shared" si="3"/>
        <v>0.05175312142</v>
      </c>
      <c r="J27" s="131">
        <v>1440.72</v>
      </c>
      <c r="K27" s="132">
        <f t="shared" si="13"/>
        <v>1515.280107</v>
      </c>
      <c r="L27" s="65">
        <f t="shared" si="14"/>
        <v>2196050</v>
      </c>
      <c r="M27" s="130">
        <f>IFERROR(L27/(SUM(L3:L37)), 0)</f>
        <v>0.009047781515</v>
      </c>
    </row>
    <row r="28">
      <c r="A28" s="127">
        <v>26.0</v>
      </c>
      <c r="B28" s="109" t="s">
        <v>50</v>
      </c>
      <c r="C28" s="128">
        <v>18.297994</v>
      </c>
      <c r="D28" s="133">
        <v>148.36</v>
      </c>
      <c r="E28" s="133">
        <v>2714.69</v>
      </c>
      <c r="F28" s="132">
        <f>IFERROR(__xludf.DUMMYFUNCTION("IFERROR(GOOGLEFINANCE(""XLV"", ""price""), NAVER_PRICE(""XLV""))"),145.4)</f>
        <v>145.4</v>
      </c>
      <c r="G28" s="132">
        <f t="shared" si="1"/>
        <v>2660.528328</v>
      </c>
      <c r="H28" s="132">
        <f t="shared" si="2"/>
        <v>-54.1616724</v>
      </c>
      <c r="I28" s="130">
        <f t="shared" si="3"/>
        <v>-0.01995132866</v>
      </c>
      <c r="J28" s="131">
        <v>2714.69</v>
      </c>
      <c r="K28" s="131">
        <v>2660.53</v>
      </c>
      <c r="L28" s="65">
        <f>K28*1449.27</f>
        <v>3855826.313</v>
      </c>
      <c r="M28" s="130">
        <f>IFERROR(L28/(SUM(L3:L37)), 0)</f>
        <v>0.01588610188</v>
      </c>
    </row>
    <row r="29">
      <c r="A29" s="127">
        <v>27.0</v>
      </c>
      <c r="B29" s="109" t="s">
        <v>53</v>
      </c>
      <c r="C29" s="128">
        <v>288.0</v>
      </c>
      <c r="D29" s="129">
        <v>14878.0</v>
      </c>
      <c r="E29" s="129">
        <v>4284925.0</v>
      </c>
      <c r="F29" s="65">
        <f>IFERROR(__xludf.DUMMYFUNCTION("IFERROR(GOOGLEFINANCE(""434060"", ""price""), NAVER_PRICE(""434060""))"),18195.0)</f>
        <v>18195</v>
      </c>
      <c r="G29" s="65">
        <f t="shared" si="1"/>
        <v>5240160</v>
      </c>
      <c r="H29" s="65">
        <f t="shared" si="2"/>
        <v>955235</v>
      </c>
      <c r="I29" s="130">
        <f t="shared" si="3"/>
        <v>0.2229292228</v>
      </c>
      <c r="J29" s="131">
        <v>2956.61</v>
      </c>
      <c r="K29" s="132">
        <f t="shared" ref="K29:K31" si="15">G29/1449.27</f>
        <v>3615.723778</v>
      </c>
      <c r="L29" s="65">
        <f t="shared" ref="L29:L31" si="16">G29</f>
        <v>5240160</v>
      </c>
      <c r="M29" s="130">
        <f>IFERROR(L29/(SUM(L3:L37)), 0)</f>
        <v>0.02158959167</v>
      </c>
    </row>
    <row r="30">
      <c r="A30" s="127">
        <v>28.0</v>
      </c>
      <c r="B30" s="109" t="s">
        <v>75</v>
      </c>
      <c r="C30" s="128">
        <v>13.0</v>
      </c>
      <c r="D30" s="129">
        <v>69654.0</v>
      </c>
      <c r="E30" s="129">
        <v>905500.0</v>
      </c>
      <c r="F30" s="65">
        <f>IFERROR(__xludf.DUMMYFUNCTION("IFERROR(GOOGLEFINANCE(""016360"", ""price""), NAVER_PRICE(""016360""))"),146500.0)</f>
        <v>146500</v>
      </c>
      <c r="G30" s="65">
        <f t="shared" si="1"/>
        <v>1904500</v>
      </c>
      <c r="H30" s="65">
        <f t="shared" si="2"/>
        <v>999000</v>
      </c>
      <c r="I30" s="130">
        <f t="shared" si="3"/>
        <v>1.103257869</v>
      </c>
      <c r="J30" s="131">
        <v>624.8</v>
      </c>
      <c r="K30" s="132">
        <f t="shared" si="15"/>
        <v>1314.109862</v>
      </c>
      <c r="L30" s="65">
        <f t="shared" si="16"/>
        <v>1904500</v>
      </c>
      <c r="M30" s="130">
        <f>IFERROR(L30/(SUM(L3:L37)), 0)</f>
        <v>0.007846588145</v>
      </c>
    </row>
    <row r="31">
      <c r="A31" s="127">
        <v>29.0</v>
      </c>
      <c r="B31" s="109" t="s">
        <v>57</v>
      </c>
      <c r="C31" s="128">
        <v>135.0</v>
      </c>
      <c r="D31" s="129">
        <v>18661.0</v>
      </c>
      <c r="E31" s="129">
        <v>2519285.0</v>
      </c>
      <c r="F31" s="65">
        <f>IFERROR(__xludf.DUMMYFUNCTION("IFERROR(GOOGLEFINANCE(""487230"", ""price""), NAVER_PRICE(""487230""))"),27835.0)</f>
        <v>27835</v>
      </c>
      <c r="G31" s="65">
        <f t="shared" si="1"/>
        <v>3757725</v>
      </c>
      <c r="H31" s="65">
        <f t="shared" si="2"/>
        <v>1238440</v>
      </c>
      <c r="I31" s="130">
        <f t="shared" si="3"/>
        <v>0.4915839216</v>
      </c>
      <c r="J31" s="131">
        <v>1738.31</v>
      </c>
      <c r="K31" s="132">
        <f t="shared" si="15"/>
        <v>2592.839844</v>
      </c>
      <c r="L31" s="65">
        <f t="shared" si="16"/>
        <v>3757725</v>
      </c>
      <c r="M31" s="130">
        <f>IFERROR(L31/(SUM(L3:L37)), 0)</f>
        <v>0.01548192199</v>
      </c>
    </row>
    <row r="32">
      <c r="A32" s="127">
        <v>30.0</v>
      </c>
      <c r="B32" s="109" t="s">
        <v>55</v>
      </c>
      <c r="C32" s="128">
        <v>3.971445</v>
      </c>
      <c r="D32" s="133">
        <v>166.74</v>
      </c>
      <c r="E32" s="133">
        <v>662.18</v>
      </c>
      <c r="F32" s="132">
        <f>IFERROR(__xludf.DUMMYFUNCTION("IFERROR(GOOGLEFINANCE(""PLTR"", ""price""), NAVER_PRICE(""PLTR""))"),133.79)</f>
        <v>133.79</v>
      </c>
      <c r="G32" s="132">
        <f t="shared" si="1"/>
        <v>531.3396266</v>
      </c>
      <c r="H32" s="132">
        <f t="shared" si="2"/>
        <v>-130.8403735</v>
      </c>
      <c r="I32" s="130">
        <f t="shared" si="3"/>
        <v>-0.1975903432</v>
      </c>
      <c r="J32" s="131">
        <v>662.18</v>
      </c>
      <c r="K32" s="131">
        <v>531.34</v>
      </c>
      <c r="L32" s="65">
        <f t="shared" ref="L32:L33" si="17">K32*1449.27</f>
        <v>770055.1218</v>
      </c>
      <c r="M32" s="130">
        <f>IFERROR(L32/(SUM(L3:L37)), 0)</f>
        <v>0.003172646569</v>
      </c>
    </row>
    <row r="33">
      <c r="A33" s="127">
        <v>31.0</v>
      </c>
      <c r="B33" s="109" t="s">
        <v>67</v>
      </c>
      <c r="C33" s="128">
        <v>2.0</v>
      </c>
      <c r="D33" s="133">
        <v>106.72</v>
      </c>
      <c r="E33" s="133">
        <v>213.44</v>
      </c>
      <c r="F33" s="132">
        <f>IFERROR(__xludf.DUMMYFUNCTION("IFERROR(GOOGLEFINANCE(""NVDA"", ""price""), NAVER_PRICE(""NVDA""))"),207.83)</f>
        <v>207.83</v>
      </c>
      <c r="G33" s="132">
        <f t="shared" si="1"/>
        <v>415.66</v>
      </c>
      <c r="H33" s="132">
        <f t="shared" si="2"/>
        <v>202.22</v>
      </c>
      <c r="I33" s="130">
        <f t="shared" si="3"/>
        <v>0.9474325337</v>
      </c>
      <c r="J33" s="131">
        <v>213.44</v>
      </c>
      <c r="K33" s="131">
        <v>415.34</v>
      </c>
      <c r="L33" s="65">
        <f t="shared" si="17"/>
        <v>601939.8018</v>
      </c>
      <c r="M33" s="130">
        <f>IFERROR(L33/(SUM(L3:L37)), 0)</f>
        <v>0.0024800072</v>
      </c>
    </row>
    <row r="34">
      <c r="A34" s="127">
        <v>32.0</v>
      </c>
      <c r="B34" s="109" t="s">
        <v>60</v>
      </c>
      <c r="C34" s="128">
        <v>57.0</v>
      </c>
      <c r="D34" s="129">
        <v>12945.0</v>
      </c>
      <c r="E34" s="129">
        <v>737855.0</v>
      </c>
      <c r="F34" s="65" t="str">
        <f>IFERROR(__xludf.DUMMYFUNCTION("IFERROR(GOOGLEFINANCE(""0080G0"", ""price""), NAVER_PRICE(""0080G0""))"),"14,365")</f>
        <v>14,365</v>
      </c>
      <c r="G34" s="65">
        <f t="shared" si="1"/>
        <v>818805</v>
      </c>
      <c r="H34" s="65">
        <f t="shared" si="2"/>
        <v>80950</v>
      </c>
      <c r="I34" s="130">
        <f t="shared" si="3"/>
        <v>0.1097099024</v>
      </c>
      <c r="J34" s="131">
        <v>509.12</v>
      </c>
      <c r="K34" s="132">
        <f t="shared" ref="K34:K36" si="18">G34/1449.27</f>
        <v>564.9775404</v>
      </c>
      <c r="L34" s="65">
        <f t="shared" ref="L34:L36" si="19">G34</f>
        <v>818805</v>
      </c>
      <c r="M34" s="130">
        <f>IFERROR(L34/(SUM(L3:L37)), 0)</f>
        <v>0.003373497299</v>
      </c>
    </row>
    <row r="35">
      <c r="A35" s="127">
        <v>33.0</v>
      </c>
      <c r="B35" s="109" t="s">
        <v>77</v>
      </c>
      <c r="C35" s="128">
        <v>50.0</v>
      </c>
      <c r="D35" s="129">
        <v>11384.0</v>
      </c>
      <c r="E35" s="129">
        <v>569200.0</v>
      </c>
      <c r="F35" s="65" t="str">
        <f>IFERROR(__xludf.DUMMYFUNCTION("IFERROR(GOOGLEFINANCE(""0086B0"", ""price""), NAVER_PRICE(""0086B0""))"),"10,760")</f>
        <v>10,760</v>
      </c>
      <c r="G35" s="65">
        <f t="shared" si="1"/>
        <v>538000</v>
      </c>
      <c r="H35" s="65">
        <f t="shared" si="2"/>
        <v>-31200</v>
      </c>
      <c r="I35" s="130">
        <f t="shared" si="3"/>
        <v>-0.05481377372</v>
      </c>
      <c r="J35" s="131">
        <v>392.75</v>
      </c>
      <c r="K35" s="132">
        <f t="shared" si="18"/>
        <v>371.2213735</v>
      </c>
      <c r="L35" s="65">
        <f t="shared" si="19"/>
        <v>538000</v>
      </c>
      <c r="M35" s="130">
        <f>IFERROR(L35/(SUM(L3:L37)), 0)</f>
        <v>0.0022165736</v>
      </c>
    </row>
    <row r="36">
      <c r="A36" s="127">
        <v>34.0</v>
      </c>
      <c r="B36" s="109" t="s">
        <v>48</v>
      </c>
      <c r="C36" s="128">
        <v>13.0</v>
      </c>
      <c r="D36" s="129">
        <v>43306.0</v>
      </c>
      <c r="E36" s="129">
        <v>562975.0</v>
      </c>
      <c r="F36" s="65">
        <f>IFERROR(__xludf.DUMMYFUNCTION("IFERROR(GOOGLEFINANCE(""385510"", ""price""), NAVER_PRICE(""385510""))"),60200.0)</f>
        <v>60200</v>
      </c>
      <c r="G36" s="65">
        <f t="shared" si="1"/>
        <v>782600</v>
      </c>
      <c r="H36" s="65">
        <f t="shared" si="2"/>
        <v>219625</v>
      </c>
      <c r="I36" s="130">
        <f t="shared" si="3"/>
        <v>0.390115014</v>
      </c>
      <c r="J36" s="131">
        <v>388.45</v>
      </c>
      <c r="K36" s="132">
        <f t="shared" si="18"/>
        <v>539.995998</v>
      </c>
      <c r="L36" s="65">
        <f t="shared" si="19"/>
        <v>782600</v>
      </c>
      <c r="M36" s="130">
        <f>IFERROR(L36/(SUM(L3:L37)), 0)</f>
        <v>0.003224331784</v>
      </c>
    </row>
    <row r="37">
      <c r="A37" s="127">
        <v>35.0</v>
      </c>
      <c r="B37" s="109" t="s">
        <v>59</v>
      </c>
      <c r="C37" s="128">
        <v>1.0</v>
      </c>
      <c r="D37" s="133">
        <v>265.5</v>
      </c>
      <c r="E37" s="133">
        <v>265.5</v>
      </c>
      <c r="F37" s="132">
        <f>IFERROR(__xludf.DUMMYFUNCTION("IFERROR(GOOGLEFINANCE(""QQQM"", ""price""), NAVER_PRICE(""QQQM""))"),286.4)</f>
        <v>286.4</v>
      </c>
      <c r="G37" s="132">
        <f t="shared" si="1"/>
        <v>286.4</v>
      </c>
      <c r="H37" s="132">
        <f t="shared" si="2"/>
        <v>20.9</v>
      </c>
      <c r="I37" s="130">
        <f t="shared" si="3"/>
        <v>0.07871939736</v>
      </c>
      <c r="J37" s="131">
        <v>265.5</v>
      </c>
      <c r="K37" s="131">
        <v>286.4</v>
      </c>
      <c r="L37" s="65">
        <f>K37*1449.27</f>
        <v>415070.928</v>
      </c>
      <c r="M37" s="130">
        <f>IFERROR(L37/(SUM(L3:L37)), 0)</f>
        <v>0.001710102716</v>
      </c>
    </row>
    <row r="38">
      <c r="B38" s="109" t="s">
        <v>129</v>
      </c>
      <c r="C38" s="133">
        <v>93405.23</v>
      </c>
      <c r="D38" s="134"/>
      <c r="E38" s="134"/>
      <c r="F38" s="65"/>
      <c r="G38" s="65"/>
      <c r="H38" s="65"/>
      <c r="I38" s="130"/>
      <c r="J38" s="132"/>
      <c r="K38" s="132"/>
      <c r="L38" s="65"/>
      <c r="M38" s="130"/>
    </row>
    <row r="39">
      <c r="B39" s="109" t="s">
        <v>138</v>
      </c>
      <c r="C39" s="133">
        <v>166616.6</v>
      </c>
      <c r="D39" s="134"/>
      <c r="E39" s="134"/>
      <c r="F39" s="65"/>
      <c r="G39" s="65"/>
      <c r="H39" s="65"/>
      <c r="I39" s="130"/>
      <c r="J39" s="132"/>
      <c r="K39" s="132"/>
      <c r="L39" s="65"/>
    </row>
    <row r="40">
      <c r="B40" s="109" t="s">
        <v>139</v>
      </c>
      <c r="C40" s="133">
        <v>73211.37</v>
      </c>
      <c r="D40" s="134"/>
      <c r="E40" s="134"/>
      <c r="F40" s="65"/>
      <c r="G40" s="65"/>
      <c r="H40" s="65"/>
      <c r="I40" s="130"/>
      <c r="J40" s="132"/>
      <c r="K40" s="132"/>
      <c r="L40" s="65"/>
    </row>
    <row r="41">
      <c r="B41" s="109" t="s">
        <v>140</v>
      </c>
      <c r="C41" s="135">
        <v>0.7838</v>
      </c>
      <c r="D41" s="134"/>
      <c r="E41" s="134"/>
      <c r="F41" s="65"/>
      <c r="G41" s="65"/>
      <c r="H41" s="65"/>
      <c r="I41" s="130"/>
      <c r="J41" s="132"/>
      <c r="K41" s="132"/>
      <c r="L41" s="65"/>
    </row>
    <row r="42">
      <c r="B42" s="64"/>
      <c r="C42" s="136"/>
      <c r="D42" s="137"/>
      <c r="E42" s="134"/>
      <c r="F42" s="65"/>
      <c r="G42" s="65"/>
      <c r="H42" s="65"/>
      <c r="I42" s="130"/>
      <c r="J42" s="132"/>
      <c r="K42" s="132"/>
      <c r="L42" s="65"/>
    </row>
    <row r="43">
      <c r="B43" s="64"/>
      <c r="C43" s="138"/>
      <c r="D43" s="137"/>
    </row>
    <row r="44">
      <c r="B44" s="64"/>
      <c r="C44" s="136"/>
      <c r="D44" s="137"/>
    </row>
    <row r="45">
      <c r="B45" s="64"/>
      <c r="C45" s="136"/>
    </row>
    <row r="46">
      <c r="B46" s="64"/>
      <c r="C46" s="1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13" max="13" width="35.75"/>
  </cols>
  <sheetData>
    <row r="1" ht="32.25" customHeight="1">
      <c r="A1" s="64"/>
      <c r="B1" s="64">
        <f>IFERROR(__xludf.DUMMYFUNCTION("GOOGLEFINANCE(""CURRENCY:USDKRW"")"),1452.4850000000001)</f>
        <v>1452.485</v>
      </c>
      <c r="C1" s="64"/>
      <c r="D1" s="64"/>
      <c r="E1" s="64"/>
      <c r="F1" s="64"/>
      <c r="G1" s="64"/>
      <c r="H1" s="64"/>
      <c r="I1" s="64"/>
      <c r="J1" s="64"/>
      <c r="K1" s="109" t="s">
        <v>141</v>
      </c>
      <c r="M1" s="64"/>
    </row>
    <row r="2">
      <c r="A2" s="139" t="s">
        <v>126</v>
      </c>
      <c r="B2" s="139" t="s">
        <v>1</v>
      </c>
      <c r="C2" s="139" t="s">
        <v>127</v>
      </c>
      <c r="D2" s="139" t="s">
        <v>128</v>
      </c>
      <c r="E2" s="139" t="s">
        <v>129</v>
      </c>
      <c r="F2" s="139" t="s">
        <v>130</v>
      </c>
      <c r="G2" s="139" t="s">
        <v>131</v>
      </c>
      <c r="H2" s="139" t="s">
        <v>132</v>
      </c>
      <c r="I2" s="139" t="s">
        <v>133</v>
      </c>
      <c r="J2" s="139" t="s">
        <v>137</v>
      </c>
      <c r="K2" s="64"/>
      <c r="L2" s="64"/>
      <c r="M2" s="109" t="s">
        <v>1</v>
      </c>
      <c r="N2" s="109" t="s">
        <v>137</v>
      </c>
      <c r="O2" s="140"/>
      <c r="P2" s="64"/>
    </row>
    <row r="3">
      <c r="A3" s="109">
        <v>1.0</v>
      </c>
      <c r="B3" s="109" t="s">
        <v>53</v>
      </c>
      <c r="C3" s="141">
        <v>248.0</v>
      </c>
      <c r="D3" s="142">
        <v>14881.774193548386</v>
      </c>
      <c r="E3" s="142">
        <v>3690680.0</v>
      </c>
      <c r="F3" s="65">
        <f>IFERROR(__xludf.DUMMYFUNCTION("IFERROR(GOOGLEFINANCE(""434060"", ""price""), NAVER_PRICE(""434060""))"),18195.0)</f>
        <v>18195</v>
      </c>
      <c r="G3" s="65">
        <f t="shared" ref="G3:G9" si="1">F3*C3</f>
        <v>4512360</v>
      </c>
      <c r="H3" s="65">
        <f t="shared" ref="H3:H9" si="2">G3-E3</f>
        <v>821680</v>
      </c>
      <c r="I3" s="130">
        <f t="shared" ref="I3:I9" si="3">IF(E3&lt;&gt;0, H3/E3, 0)</f>
        <v>0.2226364789</v>
      </c>
      <c r="J3" s="130">
        <f t="shared" ref="J3:J9" si="4">IF($G$10=0, 0, G3/$G$10)</f>
        <v>0.2447651849</v>
      </c>
      <c r="K3" s="143"/>
      <c r="L3" s="130"/>
      <c r="M3" s="109" t="s">
        <v>53</v>
      </c>
      <c r="N3" s="127">
        <v>0.2760415573512436</v>
      </c>
      <c r="O3" s="140"/>
      <c r="P3" s="64"/>
    </row>
    <row r="4">
      <c r="A4" s="109">
        <v>2.0</v>
      </c>
      <c r="B4" s="109" t="s">
        <v>34</v>
      </c>
      <c r="C4" s="141">
        <v>184.0</v>
      </c>
      <c r="D4" s="142">
        <v>18153.967391304348</v>
      </c>
      <c r="E4" s="142">
        <v>3340330.0</v>
      </c>
      <c r="F4" s="65">
        <f>IFERROR(__xludf.DUMMYFUNCTION("IFERROR(GOOGLEFINANCE(""278530"", ""price""), NAVER_PRICE(""278530""))"),41750.0)</f>
        <v>41750</v>
      </c>
      <c r="G4" s="65">
        <f t="shared" si="1"/>
        <v>7682000</v>
      </c>
      <c r="H4" s="65">
        <f t="shared" si="2"/>
        <v>4341670</v>
      </c>
      <c r="I4" s="130">
        <f t="shared" si="3"/>
        <v>1.299772777</v>
      </c>
      <c r="J4" s="130">
        <f t="shared" si="4"/>
        <v>0.4166968395</v>
      </c>
      <c r="K4" s="143"/>
      <c r="L4" s="130"/>
      <c r="M4" s="109" t="s">
        <v>34</v>
      </c>
      <c r="N4" s="127">
        <v>0.3509341602375093</v>
      </c>
      <c r="O4" s="140"/>
      <c r="P4" s="64"/>
    </row>
    <row r="5">
      <c r="A5" s="127">
        <v>3.0</v>
      </c>
      <c r="B5" s="109" t="s">
        <v>23</v>
      </c>
      <c r="C5" s="141">
        <v>99.0</v>
      </c>
      <c r="D5" s="142">
        <v>26898.58585858586</v>
      </c>
      <c r="E5" s="142">
        <v>2662960.0</v>
      </c>
      <c r="F5" s="65">
        <f>IFERROR(__xludf.DUMMYFUNCTION("IFERROR(GOOGLEFINANCE(""367380"", ""price""), NAVER_PRICE(""367380""))"),31645.0)</f>
        <v>31645</v>
      </c>
      <c r="G5" s="65">
        <f t="shared" si="1"/>
        <v>3132855</v>
      </c>
      <c r="H5" s="65">
        <f t="shared" si="2"/>
        <v>469895</v>
      </c>
      <c r="I5" s="130">
        <f t="shared" si="3"/>
        <v>0.1764558987</v>
      </c>
      <c r="J5" s="130">
        <f t="shared" si="4"/>
        <v>0.1699363157</v>
      </c>
      <c r="K5" s="143"/>
      <c r="L5" s="130"/>
      <c r="M5" s="109" t="s">
        <v>23</v>
      </c>
      <c r="N5" s="127">
        <v>0.18332154137285503</v>
      </c>
    </row>
    <row r="6">
      <c r="A6" s="127">
        <v>4.0</v>
      </c>
      <c r="B6" s="109" t="s">
        <v>32</v>
      </c>
      <c r="C6" s="141">
        <v>93.0</v>
      </c>
      <c r="D6" s="142">
        <v>21680.645161290322</v>
      </c>
      <c r="E6" s="142">
        <v>2016300.0</v>
      </c>
      <c r="F6" s="65">
        <f>IFERROR(__xludf.DUMMYFUNCTION("IFERROR(GOOGLEFINANCE(""379800"", ""price""), NAVER_PRICE(""379800""))"),24205.0)</f>
        <v>24205</v>
      </c>
      <c r="G6" s="65">
        <f t="shared" si="1"/>
        <v>2251065</v>
      </c>
      <c r="H6" s="65">
        <f t="shared" si="2"/>
        <v>234765</v>
      </c>
      <c r="I6" s="130">
        <f t="shared" si="3"/>
        <v>0.1164335664</v>
      </c>
      <c r="J6" s="130">
        <f t="shared" si="4"/>
        <v>0.1221051381</v>
      </c>
      <c r="K6" s="143"/>
      <c r="L6" s="130"/>
      <c r="M6" s="109" t="s">
        <v>32</v>
      </c>
      <c r="N6" s="127">
        <v>0.1408227516003778</v>
      </c>
    </row>
    <row r="7">
      <c r="A7" s="127">
        <v>5.0</v>
      </c>
      <c r="B7" s="109" t="s">
        <v>26</v>
      </c>
      <c r="C7" s="141">
        <v>5.0</v>
      </c>
      <c r="D7" s="142">
        <v>25570.0</v>
      </c>
      <c r="E7" s="142">
        <v>127850.0</v>
      </c>
      <c r="F7" s="65">
        <f>IFERROR(__xludf.DUMMYFUNCTION("IFERROR(GOOGLEFINANCE(""411060"", ""price""), NAVER_PRICE(""411060""))"),30815.0)</f>
        <v>30815</v>
      </c>
      <c r="G7" s="65">
        <f t="shared" si="1"/>
        <v>154075</v>
      </c>
      <c r="H7" s="65">
        <f t="shared" si="2"/>
        <v>26225</v>
      </c>
      <c r="I7" s="130">
        <f t="shared" si="3"/>
        <v>0.2051231912</v>
      </c>
      <c r="J7" s="130">
        <f t="shared" si="4"/>
        <v>0.008357532614</v>
      </c>
      <c r="K7" s="143"/>
      <c r="L7" s="130"/>
      <c r="M7" s="109" t="s">
        <v>26</v>
      </c>
      <c r="N7" s="127">
        <v>0.010533211012901195</v>
      </c>
    </row>
    <row r="8">
      <c r="A8" s="127">
        <v>6.0</v>
      </c>
      <c r="B8" s="109" t="s">
        <v>14</v>
      </c>
      <c r="C8" s="141">
        <v>16.0</v>
      </c>
      <c r="D8" s="142">
        <v>12172.5</v>
      </c>
      <c r="E8" s="142">
        <v>194760.0</v>
      </c>
      <c r="F8" s="65">
        <f>IFERROR(__xludf.DUMMYFUNCTION("IFERROR(GOOGLEFINANCE(""456880"", ""price""), NAVER_PRICE(""456880""))"),12630.0)</f>
        <v>12630</v>
      </c>
      <c r="G8" s="65">
        <f t="shared" si="1"/>
        <v>202080</v>
      </c>
      <c r="H8" s="65">
        <f t="shared" si="2"/>
        <v>7320</v>
      </c>
      <c r="I8" s="130">
        <f t="shared" si="3"/>
        <v>0.03758471965</v>
      </c>
      <c r="J8" s="130">
        <f t="shared" si="4"/>
        <v>0.01096148104</v>
      </c>
      <c r="K8" s="143"/>
      <c r="L8" s="130"/>
      <c r="M8" s="109" t="s">
        <v>14</v>
      </c>
      <c r="N8" s="127">
        <v>0.01413139516382926</v>
      </c>
    </row>
    <row r="9">
      <c r="A9" s="127">
        <v>7.0</v>
      </c>
      <c r="B9" s="109" t="s">
        <v>57</v>
      </c>
      <c r="C9" s="141">
        <v>18.0</v>
      </c>
      <c r="D9" s="142">
        <v>19114.444444444445</v>
      </c>
      <c r="E9" s="142">
        <v>344060.0</v>
      </c>
      <c r="F9" s="65">
        <f>IFERROR(__xludf.DUMMYFUNCTION("IFERROR(GOOGLEFINANCE(""487230"", ""price""), NAVER_PRICE(""487230""))"),27835.0)</f>
        <v>27835</v>
      </c>
      <c r="G9" s="65">
        <f t="shared" si="1"/>
        <v>501030</v>
      </c>
      <c r="H9" s="65">
        <f t="shared" si="2"/>
        <v>156970</v>
      </c>
      <c r="I9" s="130">
        <f t="shared" si="3"/>
        <v>0.4562285648</v>
      </c>
      <c r="J9" s="130">
        <f t="shared" si="4"/>
        <v>0.02717750813</v>
      </c>
      <c r="K9" s="143"/>
      <c r="L9" s="130"/>
      <c r="M9" s="109" t="s">
        <v>57</v>
      </c>
      <c r="N9" s="127">
        <v>0.02421538326128389</v>
      </c>
    </row>
    <row r="10">
      <c r="B10" s="64"/>
      <c r="C10" s="144"/>
      <c r="D10" s="65"/>
      <c r="E10" s="65"/>
      <c r="F10" s="142" t="s">
        <v>142</v>
      </c>
      <c r="G10" s="65">
        <f>SUM(G3:G9)</f>
        <v>18435465</v>
      </c>
      <c r="H10" s="65"/>
      <c r="I10" s="130"/>
      <c r="L10" s="130"/>
    </row>
    <row r="11">
      <c r="B11" s="64"/>
      <c r="C11" s="145"/>
      <c r="D11" s="134"/>
      <c r="E11" s="134"/>
      <c r="F11" s="65"/>
      <c r="G11" s="65"/>
      <c r="H11" s="65"/>
      <c r="I11" s="130"/>
      <c r="L11" s="130"/>
    </row>
    <row r="12">
      <c r="B12" s="64"/>
      <c r="C12" s="134"/>
    </row>
    <row r="13">
      <c r="B13" s="64"/>
      <c r="C13" s="134"/>
    </row>
    <row r="14">
      <c r="B14" s="64"/>
      <c r="C14" s="134"/>
    </row>
    <row r="15">
      <c r="B15" s="64"/>
      <c r="C15" s="1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6.5"/>
    <col customWidth="1" min="3" max="4" width="7.63"/>
    <col customWidth="1" min="5" max="5" width="8.38"/>
    <col customWidth="1" min="6" max="6" width="9.63"/>
    <col customWidth="1" min="7" max="7" width="9.38"/>
    <col customWidth="1" min="8" max="8" width="8.38"/>
    <col customWidth="1" min="9" max="9" width="7.5"/>
    <col customWidth="1" min="10" max="10" width="6.63"/>
    <col customWidth="1" min="11" max="11" width="9.38"/>
    <col customWidth="1" min="12" max="12" width="6.63"/>
    <col customWidth="1" min="13" max="13" width="25.13"/>
  </cols>
  <sheetData>
    <row r="1" ht="24.75" customHeight="1">
      <c r="A1" s="64"/>
      <c r="B1" s="5">
        <f>IFERROR(__xludf.DUMMYFUNCTION("GOOGLEFINANCE(""CURRENCY:USDKRW"")"),1452.4850000000001)</f>
        <v>1452.485</v>
      </c>
      <c r="C1" s="64"/>
      <c r="D1" s="64"/>
      <c r="E1" s="64"/>
      <c r="F1" s="64"/>
      <c r="G1" s="64"/>
      <c r="H1" s="64"/>
      <c r="I1" s="64"/>
      <c r="J1" s="64"/>
      <c r="K1" s="109" t="s">
        <v>141</v>
      </c>
      <c r="L1" s="64"/>
      <c r="M1" s="64"/>
      <c r="O1" s="140"/>
    </row>
    <row r="2">
      <c r="A2" s="139" t="s">
        <v>126</v>
      </c>
      <c r="B2" s="139" t="s">
        <v>1</v>
      </c>
      <c r="C2" s="139" t="s">
        <v>127</v>
      </c>
      <c r="D2" s="139" t="s">
        <v>128</v>
      </c>
      <c r="E2" s="139" t="s">
        <v>129</v>
      </c>
      <c r="F2" s="139" t="s">
        <v>130</v>
      </c>
      <c r="G2" s="139" t="s">
        <v>131</v>
      </c>
      <c r="H2" s="139" t="s">
        <v>132</v>
      </c>
      <c r="I2" s="139" t="s">
        <v>133</v>
      </c>
      <c r="J2" s="139" t="s">
        <v>137</v>
      </c>
      <c r="K2" s="64"/>
      <c r="L2" s="64"/>
      <c r="M2" s="109" t="s">
        <v>1</v>
      </c>
      <c r="N2" s="109" t="s">
        <v>137</v>
      </c>
      <c r="O2" s="140"/>
      <c r="P2" s="64"/>
    </row>
    <row r="3">
      <c r="A3" s="109">
        <v>1.0</v>
      </c>
      <c r="B3" s="109" t="s">
        <v>20</v>
      </c>
      <c r="C3" s="141">
        <v>199.0</v>
      </c>
      <c r="D3" s="142">
        <v>11792.437185929648</v>
      </c>
      <c r="E3" s="142">
        <v>2346695.0</v>
      </c>
      <c r="F3" s="65">
        <f>IFERROR(__xludf.DUMMYFUNCTION("IFERROR(GOOGLEFINANCE(""458730"", ""price""), NAVER_PRICE(""458730""))"),14620.0)</f>
        <v>14620</v>
      </c>
      <c r="G3" s="65">
        <f t="shared" ref="G3:G14" si="1">F3*C3</f>
        <v>2909380</v>
      </c>
      <c r="H3" s="65">
        <f t="shared" ref="H3:H14" si="2">G3-E3</f>
        <v>562685</v>
      </c>
      <c r="I3" s="130">
        <f t="shared" ref="I3:I14" si="3">IF(E3&lt;&gt;0, H3/E3, 0)</f>
        <v>0.2397776447</v>
      </c>
      <c r="J3" s="130">
        <f t="shared" ref="J3:J14" si="4">IF($G$15=0, 0, G3/$G$15)</f>
        <v>0.06692837173</v>
      </c>
      <c r="K3" s="143"/>
      <c r="L3" s="130"/>
      <c r="M3" s="109" t="s">
        <v>20</v>
      </c>
      <c r="N3" s="127">
        <v>0.070406282805982</v>
      </c>
      <c r="O3" s="140"/>
      <c r="S3" s="146"/>
      <c r="T3" s="64"/>
    </row>
    <row r="4">
      <c r="A4" s="127">
        <v>2.0</v>
      </c>
      <c r="B4" s="109" t="s">
        <v>26</v>
      </c>
      <c r="C4" s="141">
        <v>219.0</v>
      </c>
      <c r="D4" s="142">
        <v>19171.369863013697</v>
      </c>
      <c r="E4" s="142">
        <v>4198530.0</v>
      </c>
      <c r="F4" s="65">
        <f>IFERROR(__xludf.DUMMYFUNCTION("IFERROR(GOOGLEFINANCE(""411060"", ""price""), NAVER_PRICE(""411060""))"),30815.0)</f>
        <v>30815</v>
      </c>
      <c r="G4" s="65">
        <f t="shared" si="1"/>
        <v>6748485</v>
      </c>
      <c r="H4" s="65">
        <f t="shared" si="2"/>
        <v>2549955</v>
      </c>
      <c r="I4" s="130">
        <f t="shared" si="3"/>
        <v>0.6073447135</v>
      </c>
      <c r="J4" s="130">
        <f t="shared" si="4"/>
        <v>0.1552444551</v>
      </c>
      <c r="K4" s="143"/>
      <c r="L4" s="130"/>
      <c r="M4" s="109" t="s">
        <v>26</v>
      </c>
      <c r="N4" s="109">
        <v>0.15905363415624646</v>
      </c>
      <c r="O4" s="64"/>
      <c r="P4" s="64"/>
    </row>
    <row r="5">
      <c r="A5" s="127">
        <v>3.0</v>
      </c>
      <c r="B5" s="109" t="s">
        <v>6</v>
      </c>
      <c r="C5" s="141">
        <v>243.0</v>
      </c>
      <c r="D5" s="142">
        <v>18510.74074074074</v>
      </c>
      <c r="E5" s="142">
        <v>4498110.0</v>
      </c>
      <c r="F5" s="65">
        <f>IFERROR(__xludf.DUMMYFUNCTION("IFERROR(GOOGLEFINANCE(""381180"", ""price""), NAVER_PRICE(""381180""))"),43465.0)</f>
        <v>43465</v>
      </c>
      <c r="G5" s="65">
        <f t="shared" si="1"/>
        <v>10561995</v>
      </c>
      <c r="H5" s="65">
        <f t="shared" si="2"/>
        <v>6063885</v>
      </c>
      <c r="I5" s="130">
        <f t="shared" si="3"/>
        <v>1.3480962</v>
      </c>
      <c r="J5" s="130">
        <f t="shared" si="4"/>
        <v>0.2429717423</v>
      </c>
      <c r="K5" s="143"/>
      <c r="L5" s="130"/>
      <c r="M5" s="109" t="s">
        <v>6</v>
      </c>
      <c r="N5" s="127">
        <v>0.23125010397974002</v>
      </c>
      <c r="O5" s="140"/>
    </row>
    <row r="6">
      <c r="A6" s="127">
        <v>4.0</v>
      </c>
      <c r="B6" s="109" t="s">
        <v>17</v>
      </c>
      <c r="C6" s="141">
        <v>224.0</v>
      </c>
      <c r="D6" s="142">
        <v>19095.535714285714</v>
      </c>
      <c r="E6" s="142">
        <v>4277400.0</v>
      </c>
      <c r="F6" s="65">
        <f>IFERROR(__xludf.DUMMYFUNCTION("IFERROR(GOOGLEFINANCE(""360750"", ""price""), NAVER_PRICE(""360750""))"),26545.0)</f>
        <v>26545</v>
      </c>
      <c r="G6" s="65">
        <f t="shared" si="1"/>
        <v>5946080</v>
      </c>
      <c r="H6" s="65">
        <f t="shared" si="2"/>
        <v>1668680</v>
      </c>
      <c r="I6" s="130">
        <f t="shared" si="3"/>
        <v>0.3901154907</v>
      </c>
      <c r="J6" s="130">
        <f t="shared" si="4"/>
        <v>0.1367856562</v>
      </c>
      <c r="K6" s="143"/>
      <c r="L6" s="130"/>
      <c r="M6" s="109" t="s">
        <v>17</v>
      </c>
      <c r="N6" s="127">
        <v>0.14027157174159213</v>
      </c>
      <c r="O6" s="140"/>
    </row>
    <row r="7">
      <c r="A7" s="127">
        <v>5.0</v>
      </c>
      <c r="B7" s="109" t="s">
        <v>23</v>
      </c>
      <c r="C7" s="141">
        <v>197.0</v>
      </c>
      <c r="D7" s="142">
        <v>21413.578680203045</v>
      </c>
      <c r="E7" s="142">
        <v>4218475.0</v>
      </c>
      <c r="F7" s="65">
        <f>IFERROR(__xludf.DUMMYFUNCTION("IFERROR(GOOGLEFINANCE(""367380"", ""price""), NAVER_PRICE(""367380""))"),31645.0)</f>
        <v>31645</v>
      </c>
      <c r="G7" s="65">
        <f t="shared" si="1"/>
        <v>6234065</v>
      </c>
      <c r="H7" s="65">
        <f t="shared" si="2"/>
        <v>2015590</v>
      </c>
      <c r="I7" s="130">
        <f t="shared" si="3"/>
        <v>0.477800627</v>
      </c>
      <c r="J7" s="130">
        <f t="shared" si="4"/>
        <v>0.1434105616</v>
      </c>
      <c r="K7" s="143"/>
      <c r="L7" s="130"/>
      <c r="M7" s="109" t="s">
        <v>23</v>
      </c>
      <c r="N7" s="127">
        <v>0.1443488941283374</v>
      </c>
      <c r="O7" s="140"/>
    </row>
    <row r="8">
      <c r="A8" s="127">
        <v>6.0</v>
      </c>
      <c r="B8" s="109" t="s">
        <v>14</v>
      </c>
      <c r="C8" s="141">
        <v>225.0</v>
      </c>
      <c r="D8" s="142">
        <v>11553.68888888889</v>
      </c>
      <c r="E8" s="142">
        <v>2599580.0</v>
      </c>
      <c r="F8" s="65">
        <f>IFERROR(__xludf.DUMMYFUNCTION("IFERROR(GOOGLEFINANCE(""456880"", ""price""), NAVER_PRICE(""456880""))"),12630.0)</f>
        <v>12630</v>
      </c>
      <c r="G8" s="65">
        <f t="shared" si="1"/>
        <v>2841750</v>
      </c>
      <c r="H8" s="65">
        <f t="shared" si="2"/>
        <v>242170</v>
      </c>
      <c r="I8" s="130">
        <f t="shared" si="3"/>
        <v>0.09315735619</v>
      </c>
      <c r="J8" s="130">
        <f t="shared" si="4"/>
        <v>0.0653725881</v>
      </c>
      <c r="K8" s="143"/>
      <c r="L8" s="130"/>
      <c r="M8" s="109" t="s">
        <v>14</v>
      </c>
      <c r="N8" s="127">
        <v>0.06939862187795968</v>
      </c>
      <c r="O8" s="140"/>
    </row>
    <row r="9">
      <c r="A9" s="127">
        <v>7.0</v>
      </c>
      <c r="B9" s="109" t="s">
        <v>29</v>
      </c>
      <c r="C9" s="141">
        <v>167.0</v>
      </c>
      <c r="D9" s="142">
        <v>12502.934131736527</v>
      </c>
      <c r="E9" s="142">
        <v>2087990.0</v>
      </c>
      <c r="F9" s="65">
        <f>IFERROR(__xludf.DUMMYFUNCTION("IFERROR(GOOGLEFINANCE(""305080"", ""price""), NAVER_PRICE(""305080""))"),13150.0)</f>
        <v>13150</v>
      </c>
      <c r="G9" s="65">
        <f t="shared" si="1"/>
        <v>2196050</v>
      </c>
      <c r="H9" s="65">
        <f t="shared" si="2"/>
        <v>108060</v>
      </c>
      <c r="I9" s="130">
        <f t="shared" si="3"/>
        <v>0.05175312142</v>
      </c>
      <c r="J9" s="130">
        <f t="shared" si="4"/>
        <v>0.05051868464</v>
      </c>
      <c r="K9" s="143"/>
      <c r="L9" s="130"/>
      <c r="M9" s="109" t="s">
        <v>29</v>
      </c>
      <c r="N9" s="127">
        <v>0.053308123657314854</v>
      </c>
      <c r="O9" s="140"/>
    </row>
    <row r="10">
      <c r="A10" s="127">
        <v>8.0</v>
      </c>
      <c r="B10" s="109" t="s">
        <v>53</v>
      </c>
      <c r="C10" s="141">
        <v>40.0</v>
      </c>
      <c r="D10" s="142">
        <v>14856.125</v>
      </c>
      <c r="E10" s="142">
        <v>594245.0</v>
      </c>
      <c r="F10" s="65">
        <f>IFERROR(__xludf.DUMMYFUNCTION("IFERROR(GOOGLEFINANCE(""434060"", ""price""), NAVER_PRICE(""434060""))"),18195.0)</f>
        <v>18195</v>
      </c>
      <c r="G10" s="65">
        <f t="shared" si="1"/>
        <v>727800</v>
      </c>
      <c r="H10" s="65">
        <f t="shared" si="2"/>
        <v>133555</v>
      </c>
      <c r="I10" s="130">
        <f t="shared" si="3"/>
        <v>0.2247473685</v>
      </c>
      <c r="J10" s="130">
        <f t="shared" si="4"/>
        <v>0.01674255991</v>
      </c>
      <c r="K10" s="143"/>
      <c r="L10" s="130"/>
      <c r="M10" s="109" t="s">
        <v>53</v>
      </c>
      <c r="N10" s="127">
        <v>0.016952737123777362</v>
      </c>
      <c r="O10" s="140"/>
    </row>
    <row r="11">
      <c r="A11" s="127">
        <v>9.0</v>
      </c>
      <c r="B11" s="109" t="s">
        <v>34</v>
      </c>
      <c r="C11" s="141">
        <v>59.0</v>
      </c>
      <c r="D11" s="142">
        <v>19241.35593220339</v>
      </c>
      <c r="E11" s="142">
        <v>1135240.0</v>
      </c>
      <c r="F11" s="65">
        <f>IFERROR(__xludf.DUMMYFUNCTION("IFERROR(GOOGLEFINANCE(""278530"", ""price""), NAVER_PRICE(""278530""))"),41750.0)</f>
        <v>41750</v>
      </c>
      <c r="G11" s="65">
        <f t="shared" si="1"/>
        <v>2463250</v>
      </c>
      <c r="H11" s="65">
        <f t="shared" si="2"/>
        <v>1328010</v>
      </c>
      <c r="I11" s="130">
        <f t="shared" si="3"/>
        <v>1.169805504</v>
      </c>
      <c r="J11" s="130">
        <f t="shared" si="4"/>
        <v>0.05666544475</v>
      </c>
      <c r="K11" s="143"/>
      <c r="L11" s="130"/>
      <c r="M11" s="109" t="s">
        <v>34</v>
      </c>
      <c r="N11" s="127">
        <v>0.051076883008758955</v>
      </c>
      <c r="O11" s="140"/>
    </row>
    <row r="12">
      <c r="A12" s="127">
        <v>10.0</v>
      </c>
      <c r="B12" s="109" t="s">
        <v>57</v>
      </c>
      <c r="C12" s="141">
        <v>47.0</v>
      </c>
      <c r="D12" s="142">
        <v>17410.106382978724</v>
      </c>
      <c r="E12" s="142">
        <v>818275.0</v>
      </c>
      <c r="F12" s="65">
        <f>IFERROR(__xludf.DUMMYFUNCTION("IFERROR(GOOGLEFINANCE(""487230"", ""price""), NAVER_PRICE(""487230""))"),27835.0)</f>
        <v>27835</v>
      </c>
      <c r="G12" s="65">
        <f t="shared" si="1"/>
        <v>1308245</v>
      </c>
      <c r="H12" s="65">
        <f t="shared" si="2"/>
        <v>489970</v>
      </c>
      <c r="I12" s="130">
        <f t="shared" si="3"/>
        <v>0.5987840274</v>
      </c>
      <c r="J12" s="130">
        <f t="shared" si="4"/>
        <v>0.03009531504</v>
      </c>
      <c r="K12" s="143"/>
      <c r="L12" s="130"/>
      <c r="M12" s="109" t="s">
        <v>57</v>
      </c>
      <c r="N12" s="127">
        <v>0.02777249484230567</v>
      </c>
      <c r="O12" s="140"/>
    </row>
    <row r="13">
      <c r="A13" s="127">
        <v>11.0</v>
      </c>
      <c r="B13" s="109" t="s">
        <v>32</v>
      </c>
      <c r="C13" s="141">
        <v>31.0</v>
      </c>
      <c r="D13" s="142">
        <v>20675.8064516129</v>
      </c>
      <c r="E13" s="142">
        <v>640950.0</v>
      </c>
      <c r="F13" s="65">
        <f>IFERROR(__xludf.DUMMYFUNCTION("IFERROR(GOOGLEFINANCE(""379800"", ""price""), NAVER_PRICE(""379800""))"),24205.0)</f>
        <v>24205</v>
      </c>
      <c r="G13" s="65">
        <f t="shared" si="1"/>
        <v>750355</v>
      </c>
      <c r="H13" s="65">
        <f t="shared" si="2"/>
        <v>109405</v>
      </c>
      <c r="I13" s="130">
        <f t="shared" si="3"/>
        <v>0.1706919416</v>
      </c>
      <c r="J13" s="130">
        <f t="shared" si="4"/>
        <v>0.01726142283</v>
      </c>
      <c r="K13" s="143"/>
      <c r="L13" s="130"/>
      <c r="M13" s="109" t="s">
        <v>32</v>
      </c>
      <c r="N13" s="127">
        <v>0.017713240453941733</v>
      </c>
      <c r="O13" s="140"/>
    </row>
    <row r="14">
      <c r="A14" s="127">
        <v>12.0</v>
      </c>
      <c r="B14" s="109" t="s">
        <v>48</v>
      </c>
      <c r="C14" s="141">
        <v>13.0</v>
      </c>
      <c r="D14" s="142">
        <v>43305.769230769234</v>
      </c>
      <c r="E14" s="142">
        <v>562975.0</v>
      </c>
      <c r="F14" s="65">
        <f>IFERROR(__xludf.DUMMYFUNCTION("IFERROR(GOOGLEFINANCE(""385510"", ""price""), NAVER_PRICE(""385510""))"),60200.0)</f>
        <v>60200</v>
      </c>
      <c r="G14" s="65">
        <f t="shared" si="1"/>
        <v>782600</v>
      </c>
      <c r="H14" s="65">
        <f t="shared" si="2"/>
        <v>219625</v>
      </c>
      <c r="I14" s="130">
        <f t="shared" si="3"/>
        <v>0.390115014</v>
      </c>
      <c r="J14" s="130">
        <f t="shared" si="4"/>
        <v>0.01800319783</v>
      </c>
      <c r="K14" s="130"/>
      <c r="L14" s="130"/>
      <c r="M14" s="109" t="s">
        <v>48</v>
      </c>
      <c r="N14" s="127">
        <v>0.018447412224043756</v>
      </c>
      <c r="O14" s="140"/>
    </row>
    <row r="15">
      <c r="B15" s="64"/>
      <c r="C15" s="145"/>
      <c r="D15" s="134"/>
      <c r="E15" s="134"/>
      <c r="F15" s="142" t="s">
        <v>142</v>
      </c>
      <c r="G15" s="65">
        <f>SUM(G3:G14)</f>
        <v>43470055</v>
      </c>
      <c r="H15" s="65"/>
      <c r="I15" s="130"/>
      <c r="L15" s="130"/>
      <c r="O15" s="140"/>
    </row>
    <row r="16">
      <c r="B16" s="64"/>
      <c r="C16" s="134"/>
      <c r="D16" s="134"/>
      <c r="E16" s="134"/>
      <c r="F16" s="65"/>
      <c r="G16" s="65"/>
      <c r="H16" s="65"/>
      <c r="I16" s="130"/>
      <c r="L16" s="130"/>
      <c r="O16" s="140"/>
    </row>
    <row r="17">
      <c r="B17" s="64"/>
      <c r="C17" s="134"/>
      <c r="D17" s="134"/>
      <c r="E17" s="134"/>
      <c r="F17" s="65"/>
      <c r="G17" s="65"/>
      <c r="H17" s="65"/>
      <c r="I17" s="130"/>
      <c r="L17" s="130"/>
      <c r="O17" s="140"/>
    </row>
    <row r="18">
      <c r="B18" s="64"/>
      <c r="C18" s="134"/>
      <c r="O18" s="140"/>
    </row>
    <row r="19">
      <c r="B19" s="64"/>
      <c r="C19" s="136"/>
      <c r="O19" s="140"/>
    </row>
    <row r="20">
      <c r="B20" s="64"/>
      <c r="C20" s="134"/>
      <c r="O20" s="140"/>
    </row>
    <row r="21">
      <c r="B21" s="64"/>
      <c r="C21" s="136"/>
      <c r="O21" s="140"/>
    </row>
    <row r="22">
      <c r="O22" s="140"/>
    </row>
    <row r="23">
      <c r="O23" s="140"/>
    </row>
    <row r="24">
      <c r="O24" s="140"/>
    </row>
    <row r="25">
      <c r="O25" s="140"/>
    </row>
    <row r="26">
      <c r="O26" s="140"/>
    </row>
    <row r="27">
      <c r="O27" s="140"/>
    </row>
    <row r="28">
      <c r="O28" s="140"/>
    </row>
    <row r="29">
      <c r="O29" s="140"/>
    </row>
    <row r="30">
      <c r="O30" s="140"/>
    </row>
    <row r="31">
      <c r="O31" s="140"/>
    </row>
    <row r="32">
      <c r="O32" s="140"/>
    </row>
    <row r="33">
      <c r="O33" s="140"/>
    </row>
    <row r="34">
      <c r="O34" s="140"/>
    </row>
    <row r="35">
      <c r="O35" s="140"/>
    </row>
    <row r="36">
      <c r="O36" s="140"/>
    </row>
    <row r="37">
      <c r="O37" s="140"/>
    </row>
    <row r="38">
      <c r="O38" s="140"/>
    </row>
    <row r="39">
      <c r="O39" s="140"/>
    </row>
    <row r="40">
      <c r="O40" s="140"/>
    </row>
    <row r="41">
      <c r="O41" s="140"/>
    </row>
    <row r="42">
      <c r="O42" s="140"/>
    </row>
    <row r="43">
      <c r="O43" s="140"/>
    </row>
    <row r="44">
      <c r="O44" s="140"/>
    </row>
    <row r="45">
      <c r="O45" s="140"/>
    </row>
    <row r="46">
      <c r="O46" s="140"/>
    </row>
    <row r="47">
      <c r="O47" s="140"/>
    </row>
    <row r="48">
      <c r="O48" s="140"/>
    </row>
    <row r="49">
      <c r="O49" s="140"/>
    </row>
    <row r="50">
      <c r="O50" s="140"/>
    </row>
    <row r="51">
      <c r="O51" s="140"/>
    </row>
    <row r="52">
      <c r="O52" s="140"/>
    </row>
    <row r="53">
      <c r="O53" s="140"/>
    </row>
    <row r="54">
      <c r="O54" s="140"/>
    </row>
    <row r="55">
      <c r="O55" s="140"/>
    </row>
    <row r="56">
      <c r="O56" s="140"/>
    </row>
    <row r="57">
      <c r="O57" s="140"/>
    </row>
    <row r="58">
      <c r="O58" s="140"/>
    </row>
    <row r="59">
      <c r="O59" s="140"/>
    </row>
    <row r="60">
      <c r="O60" s="140"/>
    </row>
    <row r="61">
      <c r="O61" s="140"/>
    </row>
    <row r="62">
      <c r="O62" s="140"/>
    </row>
    <row r="63">
      <c r="O63" s="140"/>
    </row>
    <row r="64">
      <c r="O64" s="140"/>
    </row>
    <row r="65">
      <c r="O65" s="140"/>
    </row>
    <row r="66">
      <c r="O66" s="140"/>
    </row>
    <row r="67">
      <c r="O67" s="140"/>
    </row>
    <row r="68">
      <c r="O68" s="140"/>
    </row>
    <row r="69">
      <c r="O69" s="140"/>
    </row>
    <row r="70">
      <c r="O70" s="140"/>
    </row>
    <row r="71">
      <c r="O71" s="140"/>
    </row>
    <row r="72">
      <c r="O72" s="140"/>
    </row>
    <row r="73">
      <c r="O73" s="140"/>
    </row>
    <row r="74">
      <c r="O74" s="140"/>
    </row>
    <row r="75">
      <c r="O75" s="140"/>
    </row>
    <row r="76">
      <c r="O76" s="140"/>
    </row>
    <row r="77">
      <c r="O77" s="140"/>
    </row>
    <row r="78">
      <c r="O78" s="140"/>
    </row>
    <row r="79">
      <c r="O79" s="140"/>
    </row>
    <row r="80">
      <c r="O80" s="140"/>
    </row>
    <row r="81">
      <c r="O81" s="140"/>
    </row>
    <row r="82">
      <c r="O82" s="140"/>
    </row>
    <row r="83">
      <c r="O83" s="140"/>
    </row>
    <row r="84">
      <c r="O84" s="140"/>
    </row>
    <row r="85">
      <c r="O85" s="140"/>
    </row>
    <row r="86">
      <c r="O86" s="140"/>
    </row>
    <row r="87">
      <c r="O87" s="140"/>
    </row>
    <row r="88">
      <c r="O88" s="140"/>
    </row>
    <row r="89">
      <c r="O89" s="140"/>
    </row>
    <row r="90">
      <c r="O90" s="140"/>
    </row>
    <row r="91">
      <c r="O91" s="140"/>
    </row>
    <row r="92">
      <c r="O92" s="140"/>
    </row>
    <row r="93">
      <c r="O93" s="140"/>
    </row>
    <row r="94">
      <c r="O94" s="140"/>
    </row>
    <row r="95">
      <c r="O95" s="140"/>
    </row>
    <row r="96">
      <c r="O96" s="140"/>
    </row>
    <row r="97">
      <c r="O97" s="140"/>
    </row>
    <row r="98">
      <c r="O98" s="140"/>
    </row>
    <row r="99">
      <c r="O99" s="140"/>
    </row>
    <row r="100">
      <c r="O100" s="140"/>
    </row>
    <row r="101">
      <c r="O101" s="140"/>
    </row>
    <row r="102">
      <c r="O102" s="140"/>
    </row>
    <row r="103">
      <c r="O103" s="140"/>
    </row>
    <row r="104">
      <c r="O104" s="140"/>
    </row>
    <row r="105">
      <c r="O105" s="140"/>
    </row>
    <row r="106">
      <c r="O106" s="140"/>
    </row>
    <row r="107">
      <c r="O107" s="140"/>
    </row>
    <row r="108">
      <c r="O108" s="140"/>
    </row>
    <row r="109">
      <c r="O109" s="140"/>
    </row>
    <row r="110">
      <c r="O110" s="140"/>
    </row>
    <row r="111">
      <c r="O111" s="140"/>
    </row>
    <row r="112">
      <c r="O112" s="140"/>
    </row>
    <row r="113">
      <c r="O113" s="140"/>
    </row>
    <row r="114">
      <c r="O114" s="140"/>
    </row>
    <row r="115">
      <c r="O115" s="140"/>
    </row>
    <row r="116">
      <c r="O116" s="140"/>
    </row>
    <row r="117">
      <c r="O117" s="140"/>
    </row>
    <row r="118">
      <c r="O118" s="140"/>
    </row>
    <row r="119">
      <c r="O119" s="140"/>
    </row>
    <row r="120">
      <c r="O120" s="140"/>
    </row>
    <row r="121">
      <c r="O121" s="140"/>
    </row>
    <row r="122">
      <c r="O122" s="140"/>
    </row>
    <row r="123">
      <c r="O123" s="140"/>
    </row>
    <row r="124">
      <c r="O124" s="140"/>
    </row>
    <row r="125">
      <c r="O125" s="140"/>
    </row>
    <row r="126">
      <c r="O126" s="140"/>
    </row>
    <row r="127">
      <c r="O127" s="140"/>
    </row>
    <row r="128">
      <c r="O128" s="140"/>
    </row>
    <row r="129">
      <c r="O129" s="140"/>
    </row>
    <row r="130">
      <c r="O130" s="140"/>
    </row>
    <row r="131">
      <c r="O131" s="140"/>
    </row>
    <row r="132">
      <c r="O132" s="140"/>
    </row>
    <row r="133">
      <c r="O133" s="140"/>
    </row>
    <row r="134">
      <c r="O134" s="140"/>
    </row>
    <row r="135">
      <c r="O135" s="140"/>
    </row>
    <row r="136">
      <c r="O136" s="140"/>
    </row>
    <row r="137">
      <c r="O137" s="140"/>
    </row>
    <row r="138">
      <c r="O138" s="140"/>
    </row>
    <row r="139">
      <c r="O139" s="140"/>
    </row>
    <row r="140">
      <c r="O140" s="140"/>
    </row>
    <row r="141">
      <c r="O141" s="140"/>
    </row>
    <row r="142">
      <c r="O142" s="140"/>
    </row>
    <row r="143">
      <c r="O143" s="140"/>
    </row>
    <row r="144">
      <c r="O144" s="140"/>
    </row>
    <row r="145">
      <c r="O145" s="140"/>
    </row>
    <row r="146">
      <c r="O146" s="140"/>
    </row>
    <row r="147">
      <c r="O147" s="140"/>
    </row>
    <row r="148">
      <c r="O148" s="140"/>
    </row>
    <row r="149">
      <c r="O149" s="140"/>
    </row>
    <row r="150">
      <c r="O150" s="140"/>
    </row>
    <row r="151">
      <c r="O151" s="140"/>
    </row>
    <row r="152">
      <c r="O152" s="140"/>
    </row>
    <row r="153">
      <c r="O153" s="140"/>
    </row>
    <row r="154">
      <c r="O154" s="140"/>
    </row>
    <row r="155">
      <c r="O155" s="140"/>
    </row>
    <row r="156">
      <c r="O156" s="140"/>
    </row>
    <row r="157">
      <c r="O157" s="140"/>
    </row>
    <row r="158">
      <c r="O158" s="140"/>
    </row>
    <row r="159">
      <c r="O159" s="140"/>
    </row>
    <row r="160">
      <c r="O160" s="140"/>
    </row>
    <row r="161">
      <c r="O161" s="140"/>
    </row>
    <row r="162">
      <c r="O162" s="140"/>
    </row>
    <row r="163">
      <c r="O163" s="140"/>
    </row>
    <row r="164">
      <c r="O164" s="140"/>
    </row>
    <row r="165">
      <c r="O165" s="140"/>
    </row>
    <row r="166">
      <c r="O166" s="140"/>
    </row>
    <row r="167">
      <c r="O167" s="140"/>
    </row>
    <row r="168">
      <c r="O168" s="140"/>
    </row>
    <row r="169">
      <c r="O169" s="140"/>
    </row>
    <row r="170">
      <c r="O170" s="140"/>
    </row>
    <row r="171">
      <c r="O171" s="140"/>
    </row>
    <row r="172">
      <c r="O172" s="140"/>
    </row>
    <row r="173">
      <c r="O173" s="140"/>
    </row>
    <row r="174">
      <c r="O174" s="140"/>
    </row>
    <row r="175">
      <c r="O175" s="140"/>
    </row>
    <row r="176">
      <c r="O176" s="140"/>
    </row>
    <row r="177">
      <c r="O177" s="140"/>
    </row>
    <row r="178">
      <c r="O178" s="140"/>
    </row>
    <row r="179">
      <c r="O179" s="140"/>
    </row>
    <row r="180">
      <c r="O180" s="140"/>
    </row>
    <row r="181">
      <c r="O181" s="140"/>
    </row>
    <row r="182">
      <c r="O182" s="140"/>
    </row>
    <row r="183">
      <c r="O183" s="140"/>
    </row>
    <row r="184">
      <c r="O184" s="140"/>
    </row>
    <row r="185">
      <c r="O185" s="140"/>
    </row>
    <row r="186">
      <c r="O186" s="140"/>
    </row>
    <row r="187">
      <c r="O187" s="140"/>
    </row>
    <row r="188">
      <c r="O188" s="140"/>
    </row>
    <row r="189">
      <c r="O189" s="140"/>
    </row>
    <row r="190">
      <c r="O190" s="140"/>
    </row>
    <row r="191">
      <c r="O191" s="140"/>
    </row>
    <row r="192">
      <c r="O192" s="140"/>
    </row>
    <row r="193">
      <c r="O193" s="140"/>
    </row>
    <row r="194">
      <c r="O194" s="140"/>
    </row>
    <row r="195">
      <c r="O195" s="140"/>
    </row>
    <row r="196">
      <c r="O196" s="140"/>
    </row>
    <row r="197">
      <c r="O197" s="140"/>
    </row>
    <row r="198">
      <c r="O198" s="140"/>
    </row>
    <row r="199">
      <c r="O199" s="140"/>
    </row>
    <row r="200">
      <c r="O200" s="140"/>
    </row>
    <row r="201">
      <c r="O201" s="140"/>
    </row>
    <row r="202">
      <c r="O202" s="140"/>
    </row>
    <row r="203">
      <c r="O203" s="140"/>
    </row>
    <row r="204">
      <c r="O204" s="140"/>
    </row>
    <row r="205">
      <c r="O205" s="140"/>
    </row>
    <row r="206">
      <c r="O206" s="140"/>
    </row>
    <row r="207">
      <c r="O207" s="140"/>
    </row>
    <row r="208">
      <c r="O208" s="140"/>
    </row>
    <row r="209">
      <c r="O209" s="140"/>
    </row>
    <row r="210">
      <c r="O210" s="140"/>
    </row>
    <row r="211">
      <c r="O211" s="140"/>
    </row>
    <row r="212">
      <c r="O212" s="140"/>
    </row>
    <row r="213">
      <c r="O213" s="140"/>
    </row>
    <row r="214">
      <c r="O214" s="140"/>
    </row>
    <row r="215">
      <c r="O215" s="140"/>
    </row>
    <row r="216">
      <c r="O216" s="140"/>
    </row>
    <row r="217">
      <c r="O217" s="140"/>
    </row>
    <row r="218">
      <c r="O218" s="140"/>
    </row>
    <row r="219">
      <c r="O219" s="140"/>
    </row>
    <row r="220">
      <c r="O220" s="140"/>
    </row>
    <row r="221">
      <c r="O221" s="140"/>
    </row>
    <row r="222">
      <c r="O222" s="140"/>
    </row>
    <row r="223">
      <c r="O223" s="140"/>
    </row>
    <row r="224">
      <c r="O224" s="140"/>
    </row>
    <row r="225">
      <c r="O225" s="140"/>
    </row>
    <row r="226">
      <c r="O226" s="140"/>
    </row>
    <row r="227">
      <c r="O227" s="140"/>
    </row>
    <row r="228">
      <c r="O228" s="140"/>
    </row>
    <row r="229">
      <c r="O229" s="140"/>
    </row>
    <row r="230">
      <c r="O230" s="140"/>
    </row>
    <row r="231">
      <c r="O231" s="140"/>
    </row>
    <row r="232">
      <c r="O232" s="140"/>
    </row>
    <row r="233">
      <c r="O233" s="140"/>
    </row>
    <row r="234">
      <c r="O234" s="140"/>
    </row>
    <row r="235">
      <c r="O235" s="140"/>
    </row>
    <row r="236">
      <c r="O236" s="140"/>
    </row>
    <row r="237">
      <c r="O237" s="140"/>
    </row>
    <row r="238">
      <c r="O238" s="140"/>
    </row>
    <row r="239">
      <c r="O239" s="140"/>
    </row>
    <row r="240">
      <c r="O240" s="140"/>
    </row>
    <row r="241">
      <c r="O241" s="140"/>
    </row>
    <row r="242">
      <c r="O242" s="140"/>
    </row>
    <row r="243">
      <c r="O243" s="140"/>
    </row>
    <row r="244">
      <c r="O244" s="140"/>
    </row>
    <row r="245">
      <c r="O245" s="140"/>
    </row>
    <row r="246">
      <c r="O246" s="140"/>
    </row>
    <row r="247">
      <c r="O247" s="140"/>
    </row>
    <row r="248">
      <c r="O248" s="140"/>
    </row>
    <row r="249">
      <c r="O249" s="140"/>
    </row>
    <row r="250">
      <c r="O250" s="140"/>
    </row>
    <row r="251">
      <c r="O251" s="140"/>
    </row>
    <row r="252">
      <c r="O252" s="140"/>
    </row>
    <row r="253">
      <c r="O253" s="140"/>
    </row>
    <row r="254">
      <c r="O254" s="140"/>
    </row>
    <row r="255">
      <c r="O255" s="140"/>
    </row>
    <row r="256">
      <c r="O256" s="140"/>
    </row>
    <row r="257">
      <c r="O257" s="140"/>
    </row>
    <row r="258">
      <c r="O258" s="140"/>
    </row>
    <row r="259">
      <c r="O259" s="140"/>
    </row>
    <row r="260">
      <c r="O260" s="140"/>
    </row>
    <row r="261">
      <c r="O261" s="140"/>
    </row>
    <row r="262">
      <c r="O262" s="140"/>
    </row>
    <row r="263">
      <c r="O263" s="140"/>
    </row>
    <row r="264">
      <c r="O264" s="140"/>
    </row>
    <row r="265">
      <c r="O265" s="140"/>
    </row>
    <row r="266">
      <c r="O266" s="140"/>
    </row>
    <row r="267">
      <c r="O267" s="140"/>
    </row>
    <row r="268">
      <c r="O268" s="140"/>
    </row>
    <row r="269">
      <c r="O269" s="140"/>
    </row>
    <row r="270">
      <c r="O270" s="140"/>
    </row>
    <row r="271">
      <c r="O271" s="140"/>
    </row>
    <row r="272">
      <c r="O272" s="140"/>
    </row>
    <row r="273">
      <c r="O273" s="140"/>
    </row>
    <row r="274">
      <c r="O274" s="140"/>
    </row>
    <row r="275">
      <c r="O275" s="140"/>
    </row>
    <row r="276">
      <c r="O276" s="140"/>
    </row>
    <row r="277">
      <c r="O277" s="140"/>
    </row>
    <row r="278">
      <c r="O278" s="140"/>
    </row>
    <row r="279">
      <c r="O279" s="140"/>
    </row>
    <row r="280">
      <c r="O280" s="140"/>
    </row>
    <row r="281">
      <c r="O281" s="140"/>
    </row>
    <row r="282">
      <c r="O282" s="140"/>
    </row>
    <row r="283">
      <c r="O283" s="140"/>
    </row>
    <row r="284">
      <c r="O284" s="140"/>
    </row>
    <row r="285">
      <c r="O285" s="140"/>
    </row>
    <row r="286">
      <c r="O286" s="140"/>
    </row>
    <row r="287">
      <c r="O287" s="140"/>
    </row>
    <row r="288">
      <c r="O288" s="140"/>
    </row>
    <row r="289">
      <c r="O289" s="140"/>
    </row>
    <row r="290">
      <c r="O290" s="140"/>
    </row>
    <row r="291">
      <c r="O291" s="140"/>
    </row>
    <row r="292">
      <c r="O292" s="140"/>
    </row>
    <row r="293">
      <c r="O293" s="140"/>
    </row>
    <row r="294">
      <c r="O294" s="140"/>
    </row>
    <row r="295">
      <c r="O295" s="140"/>
    </row>
    <row r="296">
      <c r="O296" s="140"/>
    </row>
    <row r="297">
      <c r="O297" s="140"/>
    </row>
    <row r="298">
      <c r="O298" s="140"/>
    </row>
    <row r="299">
      <c r="O299" s="140"/>
    </row>
    <row r="300">
      <c r="O300" s="140"/>
    </row>
    <row r="301">
      <c r="O301" s="140"/>
    </row>
    <row r="302">
      <c r="O302" s="140"/>
    </row>
    <row r="303">
      <c r="O303" s="140"/>
    </row>
    <row r="304">
      <c r="O304" s="140"/>
    </row>
    <row r="305">
      <c r="O305" s="140"/>
    </row>
    <row r="306">
      <c r="O306" s="140"/>
    </row>
    <row r="307">
      <c r="O307" s="140"/>
    </row>
    <row r="308">
      <c r="O308" s="140"/>
    </row>
    <row r="309">
      <c r="O309" s="140"/>
    </row>
    <row r="310">
      <c r="O310" s="140"/>
    </row>
    <row r="311">
      <c r="O311" s="140"/>
    </row>
    <row r="312">
      <c r="O312" s="140"/>
    </row>
    <row r="313">
      <c r="O313" s="140"/>
    </row>
    <row r="314">
      <c r="O314" s="140"/>
    </row>
    <row r="315">
      <c r="O315" s="140"/>
    </row>
    <row r="316">
      <c r="O316" s="140"/>
    </row>
    <row r="317">
      <c r="O317" s="140"/>
    </row>
    <row r="318">
      <c r="O318" s="140"/>
    </row>
    <row r="319">
      <c r="O319" s="140"/>
    </row>
    <row r="320">
      <c r="O320" s="140"/>
    </row>
    <row r="321">
      <c r="O321" s="140"/>
    </row>
    <row r="322">
      <c r="O322" s="140"/>
    </row>
    <row r="323">
      <c r="O323" s="140"/>
    </row>
    <row r="324">
      <c r="O324" s="140"/>
    </row>
    <row r="325">
      <c r="O325" s="140"/>
    </row>
    <row r="326">
      <c r="O326" s="140"/>
    </row>
    <row r="327">
      <c r="O327" s="140"/>
    </row>
    <row r="328">
      <c r="O328" s="140"/>
    </row>
    <row r="329">
      <c r="O329" s="140"/>
    </row>
    <row r="330">
      <c r="O330" s="140"/>
    </row>
    <row r="331">
      <c r="O331" s="140"/>
    </row>
    <row r="332">
      <c r="O332" s="140"/>
    </row>
    <row r="333">
      <c r="O333" s="140"/>
    </row>
    <row r="334">
      <c r="O334" s="140"/>
    </row>
    <row r="335">
      <c r="O335" s="140"/>
    </row>
    <row r="336">
      <c r="O336" s="140"/>
    </row>
    <row r="337">
      <c r="O337" s="140"/>
    </row>
    <row r="338">
      <c r="O338" s="140"/>
    </row>
    <row r="339">
      <c r="O339" s="140"/>
    </row>
    <row r="340">
      <c r="O340" s="140"/>
    </row>
    <row r="341">
      <c r="O341" s="140"/>
    </row>
    <row r="342">
      <c r="O342" s="140"/>
    </row>
    <row r="343">
      <c r="O343" s="140"/>
    </row>
    <row r="344">
      <c r="O344" s="140"/>
    </row>
    <row r="345">
      <c r="O345" s="140"/>
    </row>
    <row r="346">
      <c r="O346" s="140"/>
    </row>
    <row r="347">
      <c r="O347" s="140"/>
    </row>
    <row r="348">
      <c r="O348" s="140"/>
    </row>
    <row r="349">
      <c r="O349" s="140"/>
    </row>
    <row r="350">
      <c r="O350" s="140"/>
    </row>
    <row r="351">
      <c r="O351" s="140"/>
    </row>
    <row r="352">
      <c r="O352" s="140"/>
    </row>
    <row r="353">
      <c r="O353" s="140"/>
    </row>
    <row r="354">
      <c r="O354" s="140"/>
    </row>
    <row r="355">
      <c r="O355" s="140"/>
    </row>
    <row r="356">
      <c r="O356" s="140"/>
    </row>
    <row r="357">
      <c r="O357" s="140"/>
    </row>
    <row r="358">
      <c r="O358" s="140"/>
    </row>
    <row r="359">
      <c r="O359" s="140"/>
    </row>
    <row r="360">
      <c r="O360" s="140"/>
    </row>
    <row r="361">
      <c r="O361" s="140"/>
    </row>
    <row r="362">
      <c r="O362" s="140"/>
    </row>
    <row r="363">
      <c r="O363" s="140"/>
    </row>
    <row r="364">
      <c r="O364" s="140"/>
    </row>
    <row r="365">
      <c r="O365" s="140"/>
    </row>
    <row r="366">
      <c r="O366" s="140"/>
    </row>
    <row r="367">
      <c r="O367" s="140"/>
    </row>
    <row r="368">
      <c r="O368" s="140"/>
    </row>
    <row r="369">
      <c r="O369" s="140"/>
    </row>
    <row r="370">
      <c r="O370" s="140"/>
    </row>
    <row r="371">
      <c r="O371" s="140"/>
    </row>
    <row r="372">
      <c r="O372" s="140"/>
    </row>
    <row r="373">
      <c r="O373" s="140"/>
    </row>
    <row r="374">
      <c r="O374" s="140"/>
    </row>
    <row r="375">
      <c r="O375" s="140"/>
    </row>
    <row r="376">
      <c r="O376" s="140"/>
    </row>
    <row r="377">
      <c r="O377" s="140"/>
    </row>
    <row r="378">
      <c r="O378" s="140"/>
    </row>
    <row r="379">
      <c r="O379" s="140"/>
    </row>
    <row r="380">
      <c r="O380" s="140"/>
    </row>
    <row r="381">
      <c r="O381" s="140"/>
    </row>
    <row r="382">
      <c r="O382" s="140"/>
    </row>
    <row r="383">
      <c r="O383" s="140"/>
    </row>
    <row r="384">
      <c r="O384" s="140"/>
    </row>
    <row r="385">
      <c r="O385" s="140"/>
    </row>
    <row r="386">
      <c r="O386" s="140"/>
    </row>
    <row r="387">
      <c r="O387" s="140"/>
    </row>
    <row r="388">
      <c r="O388" s="140"/>
    </row>
    <row r="389">
      <c r="O389" s="140"/>
    </row>
    <row r="390">
      <c r="O390" s="140"/>
    </row>
    <row r="391">
      <c r="O391" s="140"/>
    </row>
    <row r="392">
      <c r="O392" s="140"/>
    </row>
    <row r="393">
      <c r="O393" s="140"/>
    </row>
    <row r="394">
      <c r="O394" s="140"/>
    </row>
    <row r="395">
      <c r="O395" s="140"/>
    </row>
    <row r="396">
      <c r="O396" s="140"/>
    </row>
    <row r="397">
      <c r="O397" s="140"/>
    </row>
    <row r="398">
      <c r="O398" s="140"/>
    </row>
    <row r="399">
      <c r="O399" s="140"/>
    </row>
    <row r="400">
      <c r="O400" s="140"/>
    </row>
    <row r="401">
      <c r="O401" s="140"/>
    </row>
    <row r="402">
      <c r="O402" s="140"/>
    </row>
    <row r="403">
      <c r="O403" s="140"/>
    </row>
    <row r="404">
      <c r="O404" s="140"/>
    </row>
    <row r="405">
      <c r="O405" s="140"/>
    </row>
    <row r="406">
      <c r="O406" s="140"/>
    </row>
    <row r="407">
      <c r="O407" s="140"/>
    </row>
    <row r="408">
      <c r="O408" s="140"/>
    </row>
    <row r="409">
      <c r="O409" s="140"/>
    </row>
    <row r="410">
      <c r="O410" s="140"/>
    </row>
    <row r="411">
      <c r="O411" s="140"/>
    </row>
    <row r="412">
      <c r="O412" s="140"/>
    </row>
    <row r="413">
      <c r="O413" s="140"/>
    </row>
    <row r="414">
      <c r="O414" s="140"/>
    </row>
    <row r="415">
      <c r="O415" s="140"/>
    </row>
    <row r="416">
      <c r="O416" s="140"/>
    </row>
    <row r="417">
      <c r="O417" s="140"/>
    </row>
    <row r="418">
      <c r="O418" s="140"/>
    </row>
    <row r="419">
      <c r="O419" s="140"/>
    </row>
    <row r="420">
      <c r="O420" s="140"/>
    </row>
    <row r="421">
      <c r="O421" s="140"/>
    </row>
    <row r="422">
      <c r="O422" s="140"/>
    </row>
    <row r="423">
      <c r="O423" s="140"/>
    </row>
    <row r="424">
      <c r="O424" s="140"/>
    </row>
    <row r="425">
      <c r="O425" s="140"/>
    </row>
    <row r="426">
      <c r="O426" s="140"/>
    </row>
    <row r="427">
      <c r="O427" s="140"/>
    </row>
    <row r="428">
      <c r="O428" s="140"/>
    </row>
    <row r="429">
      <c r="O429" s="140"/>
    </row>
    <row r="430">
      <c r="O430" s="140"/>
    </row>
    <row r="431">
      <c r="O431" s="140"/>
    </row>
    <row r="432">
      <c r="O432" s="140"/>
    </row>
    <row r="433">
      <c r="O433" s="140"/>
    </row>
    <row r="434">
      <c r="O434" s="140"/>
    </row>
    <row r="435">
      <c r="O435" s="140"/>
    </row>
    <row r="436">
      <c r="O436" s="140"/>
    </row>
    <row r="437">
      <c r="O437" s="140"/>
    </row>
    <row r="438">
      <c r="O438" s="140"/>
    </row>
    <row r="439">
      <c r="O439" s="140"/>
    </row>
    <row r="440">
      <c r="O440" s="140"/>
    </row>
    <row r="441">
      <c r="O441" s="140"/>
    </row>
    <row r="442">
      <c r="O442" s="140"/>
    </row>
    <row r="443">
      <c r="O443" s="140"/>
    </row>
    <row r="444">
      <c r="O444" s="140"/>
    </row>
    <row r="445">
      <c r="O445" s="140"/>
    </row>
    <row r="446">
      <c r="O446" s="140"/>
    </row>
    <row r="447">
      <c r="O447" s="140"/>
    </row>
    <row r="448">
      <c r="O448" s="140"/>
    </row>
    <row r="449">
      <c r="O449" s="140"/>
    </row>
    <row r="450">
      <c r="O450" s="140"/>
    </row>
    <row r="451">
      <c r="O451" s="140"/>
    </row>
    <row r="452">
      <c r="O452" s="140"/>
    </row>
    <row r="453">
      <c r="O453" s="140"/>
    </row>
    <row r="454">
      <c r="O454" s="140"/>
    </row>
    <row r="455">
      <c r="O455" s="140"/>
    </row>
    <row r="456">
      <c r="O456" s="140"/>
    </row>
    <row r="457">
      <c r="O457" s="140"/>
    </row>
    <row r="458">
      <c r="O458" s="140"/>
    </row>
    <row r="459">
      <c r="O459" s="140"/>
    </row>
    <row r="460">
      <c r="O460" s="140"/>
    </row>
    <row r="461">
      <c r="O461" s="140"/>
    </row>
    <row r="462">
      <c r="O462" s="140"/>
    </row>
    <row r="463">
      <c r="O463" s="140"/>
    </row>
    <row r="464">
      <c r="O464" s="140"/>
    </row>
    <row r="465">
      <c r="O465" s="140"/>
    </row>
    <row r="466">
      <c r="O466" s="140"/>
    </row>
    <row r="467">
      <c r="O467" s="140"/>
    </row>
    <row r="468">
      <c r="O468" s="140"/>
    </row>
    <row r="469">
      <c r="O469" s="140"/>
    </row>
    <row r="470">
      <c r="O470" s="140"/>
    </row>
    <row r="471">
      <c r="O471" s="140"/>
    </row>
    <row r="472">
      <c r="O472" s="140"/>
    </row>
    <row r="473">
      <c r="O473" s="140"/>
    </row>
    <row r="474">
      <c r="O474" s="140"/>
    </row>
    <row r="475">
      <c r="O475" s="140"/>
    </row>
    <row r="476">
      <c r="O476" s="140"/>
    </row>
    <row r="477">
      <c r="O477" s="140"/>
    </row>
    <row r="478">
      <c r="O478" s="140"/>
    </row>
    <row r="479">
      <c r="O479" s="140"/>
    </row>
    <row r="480">
      <c r="O480" s="140"/>
    </row>
    <row r="481">
      <c r="O481" s="140"/>
    </row>
    <row r="482">
      <c r="O482" s="140"/>
    </row>
    <row r="483">
      <c r="O483" s="140"/>
    </row>
    <row r="484">
      <c r="O484" s="140"/>
    </row>
    <row r="485">
      <c r="O485" s="140"/>
    </row>
    <row r="486">
      <c r="O486" s="140"/>
    </row>
    <row r="487">
      <c r="O487" s="140"/>
    </row>
    <row r="488">
      <c r="O488" s="140"/>
    </row>
    <row r="489">
      <c r="O489" s="140"/>
    </row>
    <row r="490">
      <c r="O490" s="140"/>
    </row>
    <row r="491">
      <c r="O491" s="140"/>
    </row>
    <row r="492">
      <c r="O492" s="140"/>
    </row>
    <row r="493">
      <c r="O493" s="140"/>
    </row>
    <row r="494">
      <c r="O494" s="140"/>
    </row>
    <row r="495">
      <c r="O495" s="140"/>
    </row>
    <row r="496">
      <c r="O496" s="140"/>
    </row>
    <row r="497">
      <c r="O497" s="140"/>
    </row>
    <row r="498">
      <c r="O498" s="140"/>
    </row>
    <row r="499">
      <c r="O499" s="140"/>
    </row>
    <row r="500">
      <c r="O500" s="140"/>
    </row>
    <row r="501">
      <c r="O501" s="140"/>
    </row>
    <row r="502">
      <c r="O502" s="140"/>
    </row>
    <row r="503">
      <c r="O503" s="140"/>
    </row>
    <row r="504">
      <c r="O504" s="140"/>
    </row>
    <row r="505">
      <c r="O505" s="140"/>
    </row>
    <row r="506">
      <c r="O506" s="140"/>
    </row>
    <row r="507">
      <c r="O507" s="140"/>
    </row>
    <row r="508">
      <c r="O508" s="140"/>
    </row>
    <row r="509">
      <c r="O509" s="140"/>
    </row>
    <row r="510">
      <c r="O510" s="140"/>
    </row>
    <row r="511">
      <c r="O511" s="140"/>
    </row>
    <row r="512">
      <c r="O512" s="140"/>
    </row>
    <row r="513">
      <c r="O513" s="140"/>
    </row>
    <row r="514">
      <c r="O514" s="140"/>
    </row>
    <row r="515">
      <c r="O515" s="140"/>
    </row>
    <row r="516">
      <c r="O516" s="140"/>
    </row>
    <row r="517">
      <c r="O517" s="140"/>
    </row>
    <row r="518">
      <c r="O518" s="140"/>
    </row>
    <row r="519">
      <c r="O519" s="140"/>
    </row>
    <row r="520">
      <c r="O520" s="140"/>
    </row>
    <row r="521">
      <c r="O521" s="140"/>
    </row>
    <row r="522">
      <c r="O522" s="140"/>
    </row>
    <row r="523">
      <c r="O523" s="140"/>
    </row>
    <row r="524">
      <c r="O524" s="140"/>
    </row>
    <row r="525">
      <c r="O525" s="140"/>
    </row>
    <row r="526">
      <c r="O526" s="140"/>
    </row>
    <row r="527">
      <c r="O527" s="140"/>
    </row>
    <row r="528">
      <c r="O528" s="140"/>
    </row>
    <row r="529">
      <c r="O529" s="140"/>
    </row>
    <row r="530">
      <c r="O530" s="140"/>
    </row>
    <row r="531">
      <c r="O531" s="140"/>
    </row>
    <row r="532">
      <c r="O532" s="140"/>
    </row>
    <row r="533">
      <c r="O533" s="140"/>
    </row>
    <row r="534">
      <c r="O534" s="140"/>
    </row>
    <row r="535">
      <c r="O535" s="140"/>
    </row>
    <row r="536">
      <c r="O536" s="140"/>
    </row>
    <row r="537">
      <c r="O537" s="140"/>
    </row>
    <row r="538">
      <c r="O538" s="140"/>
    </row>
    <row r="539">
      <c r="O539" s="140"/>
    </row>
    <row r="540">
      <c r="O540" s="140"/>
    </row>
    <row r="541">
      <c r="O541" s="140"/>
    </row>
    <row r="542">
      <c r="O542" s="140"/>
    </row>
    <row r="543">
      <c r="O543" s="140"/>
    </row>
    <row r="544">
      <c r="O544" s="140"/>
    </row>
    <row r="545">
      <c r="O545" s="140"/>
    </row>
    <row r="546">
      <c r="O546" s="140"/>
    </row>
    <row r="547">
      <c r="O547" s="140"/>
    </row>
    <row r="548">
      <c r="O548" s="140"/>
    </row>
    <row r="549">
      <c r="O549" s="140"/>
    </row>
    <row r="550">
      <c r="O550" s="140"/>
    </row>
    <row r="551">
      <c r="O551" s="140"/>
    </row>
    <row r="552">
      <c r="O552" s="140"/>
    </row>
    <row r="553">
      <c r="O553" s="140"/>
    </row>
    <row r="554">
      <c r="O554" s="140"/>
    </row>
    <row r="555">
      <c r="O555" s="140"/>
    </row>
    <row r="556">
      <c r="O556" s="140"/>
    </row>
    <row r="557">
      <c r="O557" s="140"/>
    </row>
    <row r="558">
      <c r="O558" s="140"/>
    </row>
    <row r="559">
      <c r="O559" s="140"/>
    </row>
    <row r="560">
      <c r="O560" s="140"/>
    </row>
    <row r="561">
      <c r="O561" s="140"/>
    </row>
    <row r="562">
      <c r="O562" s="140"/>
    </row>
    <row r="563">
      <c r="O563" s="140"/>
    </row>
    <row r="564">
      <c r="O564" s="140"/>
    </row>
    <row r="565">
      <c r="O565" s="140"/>
    </row>
    <row r="566">
      <c r="O566" s="140"/>
    </row>
    <row r="567">
      <c r="O567" s="140"/>
    </row>
    <row r="568">
      <c r="O568" s="140"/>
    </row>
    <row r="569">
      <c r="O569" s="140"/>
    </row>
    <row r="570">
      <c r="O570" s="140"/>
    </row>
    <row r="571">
      <c r="O571" s="140"/>
    </row>
    <row r="572">
      <c r="O572" s="140"/>
    </row>
    <row r="573">
      <c r="O573" s="140"/>
    </row>
    <row r="574">
      <c r="O574" s="140"/>
    </row>
    <row r="575">
      <c r="O575" s="140"/>
    </row>
    <row r="576">
      <c r="O576" s="140"/>
    </row>
    <row r="577">
      <c r="O577" s="140"/>
    </row>
    <row r="578">
      <c r="O578" s="140"/>
    </row>
    <row r="579">
      <c r="O579" s="140"/>
    </row>
    <row r="580">
      <c r="O580" s="140"/>
    </row>
    <row r="581">
      <c r="O581" s="140"/>
    </row>
    <row r="582">
      <c r="O582" s="140"/>
    </row>
    <row r="583">
      <c r="O583" s="140"/>
    </row>
    <row r="584">
      <c r="O584" s="140"/>
    </row>
    <row r="585">
      <c r="O585" s="140"/>
    </row>
    <row r="586">
      <c r="O586" s="140"/>
    </row>
    <row r="587">
      <c r="O587" s="140"/>
    </row>
    <row r="588">
      <c r="O588" s="140"/>
    </row>
    <row r="589">
      <c r="O589" s="140"/>
    </row>
    <row r="590">
      <c r="O590" s="140"/>
    </row>
    <row r="591">
      <c r="O591" s="140"/>
    </row>
    <row r="592">
      <c r="O592" s="140"/>
    </row>
    <row r="593">
      <c r="O593" s="140"/>
    </row>
    <row r="594">
      <c r="O594" s="140"/>
    </row>
    <row r="595">
      <c r="O595" s="140"/>
    </row>
    <row r="596">
      <c r="O596" s="140"/>
    </row>
    <row r="597">
      <c r="O597" s="140"/>
    </row>
    <row r="598">
      <c r="O598" s="140"/>
    </row>
    <row r="599">
      <c r="O599" s="140"/>
    </row>
    <row r="600">
      <c r="O600" s="140"/>
    </row>
    <row r="601">
      <c r="O601" s="140"/>
    </row>
    <row r="602">
      <c r="O602" s="140"/>
    </row>
    <row r="603">
      <c r="O603" s="140"/>
    </row>
    <row r="604">
      <c r="O604" s="140"/>
    </row>
    <row r="605">
      <c r="O605" s="140"/>
    </row>
    <row r="606">
      <c r="O606" s="140"/>
    </row>
    <row r="607">
      <c r="O607" s="140"/>
    </row>
    <row r="608">
      <c r="O608" s="140"/>
    </row>
    <row r="609">
      <c r="O609" s="140"/>
    </row>
    <row r="610">
      <c r="O610" s="140"/>
    </row>
    <row r="611">
      <c r="O611" s="140"/>
    </row>
    <row r="612">
      <c r="O612" s="140"/>
    </row>
    <row r="613">
      <c r="O613" s="140"/>
    </row>
    <row r="614">
      <c r="O614" s="140"/>
    </row>
    <row r="615">
      <c r="O615" s="140"/>
    </row>
    <row r="616">
      <c r="O616" s="140"/>
    </row>
    <row r="617">
      <c r="O617" s="140"/>
    </row>
    <row r="618">
      <c r="O618" s="140"/>
    </row>
    <row r="619">
      <c r="O619" s="140"/>
    </row>
    <row r="620">
      <c r="O620" s="140"/>
    </row>
    <row r="621">
      <c r="O621" s="140"/>
    </row>
    <row r="622">
      <c r="O622" s="140"/>
    </row>
    <row r="623">
      <c r="O623" s="140"/>
    </row>
    <row r="624">
      <c r="O624" s="140"/>
    </row>
    <row r="625">
      <c r="O625" s="140"/>
    </row>
    <row r="626">
      <c r="O626" s="140"/>
    </row>
    <row r="627">
      <c r="O627" s="140"/>
    </row>
    <row r="628">
      <c r="O628" s="140"/>
    </row>
    <row r="629">
      <c r="O629" s="140"/>
    </row>
    <row r="630">
      <c r="O630" s="140"/>
    </row>
    <row r="631">
      <c r="O631" s="140"/>
    </row>
    <row r="632">
      <c r="O632" s="140"/>
    </row>
    <row r="633">
      <c r="O633" s="140"/>
    </row>
    <row r="634">
      <c r="O634" s="140"/>
    </row>
    <row r="635">
      <c r="O635" s="140"/>
    </row>
    <row r="636">
      <c r="O636" s="140"/>
    </row>
    <row r="637">
      <c r="O637" s="140"/>
    </row>
    <row r="638">
      <c r="O638" s="140"/>
    </row>
    <row r="639">
      <c r="O639" s="140"/>
    </row>
    <row r="640">
      <c r="O640" s="140"/>
    </row>
    <row r="641">
      <c r="O641" s="140"/>
    </row>
    <row r="642">
      <c r="O642" s="140"/>
    </row>
    <row r="643">
      <c r="O643" s="140"/>
    </row>
    <row r="644">
      <c r="O644" s="140"/>
    </row>
    <row r="645">
      <c r="O645" s="140"/>
    </row>
    <row r="646">
      <c r="O646" s="140"/>
    </row>
    <row r="647">
      <c r="O647" s="140"/>
    </row>
    <row r="648">
      <c r="O648" s="140"/>
    </row>
    <row r="649">
      <c r="O649" s="140"/>
    </row>
    <row r="650">
      <c r="O650" s="140"/>
    </row>
    <row r="651">
      <c r="O651" s="140"/>
    </row>
    <row r="652">
      <c r="O652" s="140"/>
    </row>
    <row r="653">
      <c r="O653" s="140"/>
    </row>
    <row r="654">
      <c r="O654" s="140"/>
    </row>
    <row r="655">
      <c r="O655" s="140"/>
    </row>
    <row r="656">
      <c r="O656" s="140"/>
    </row>
    <row r="657">
      <c r="O657" s="140"/>
    </row>
    <row r="658">
      <c r="O658" s="140"/>
    </row>
    <row r="659">
      <c r="O659" s="140"/>
    </row>
    <row r="660">
      <c r="O660" s="140"/>
    </row>
    <row r="661">
      <c r="O661" s="140"/>
    </row>
    <row r="662">
      <c r="O662" s="140"/>
    </row>
    <row r="663">
      <c r="O663" s="140"/>
    </row>
    <row r="664">
      <c r="O664" s="140"/>
    </row>
    <row r="665">
      <c r="O665" s="140"/>
    </row>
    <row r="666">
      <c r="O666" s="140"/>
    </row>
    <row r="667">
      <c r="O667" s="140"/>
    </row>
    <row r="668">
      <c r="O668" s="140"/>
    </row>
    <row r="669">
      <c r="O669" s="140"/>
    </row>
    <row r="670">
      <c r="O670" s="140"/>
    </row>
    <row r="671">
      <c r="O671" s="140"/>
    </row>
    <row r="672">
      <c r="O672" s="140"/>
    </row>
    <row r="673">
      <c r="O673" s="140"/>
    </row>
    <row r="674">
      <c r="O674" s="140"/>
    </row>
    <row r="675">
      <c r="O675" s="140"/>
    </row>
    <row r="676">
      <c r="O676" s="140"/>
    </row>
    <row r="677">
      <c r="O677" s="140"/>
    </row>
    <row r="678">
      <c r="O678" s="140"/>
    </row>
    <row r="679">
      <c r="O679" s="140"/>
    </row>
    <row r="680">
      <c r="O680" s="140"/>
    </row>
    <row r="681">
      <c r="O681" s="140"/>
    </row>
    <row r="682">
      <c r="O682" s="140"/>
    </row>
    <row r="683">
      <c r="O683" s="140"/>
    </row>
    <row r="684">
      <c r="O684" s="140"/>
    </row>
    <row r="685">
      <c r="O685" s="140"/>
    </row>
    <row r="686">
      <c r="O686" s="140"/>
    </row>
    <row r="687">
      <c r="O687" s="140"/>
    </row>
    <row r="688">
      <c r="O688" s="140"/>
    </row>
    <row r="689">
      <c r="O689" s="140"/>
    </row>
    <row r="690">
      <c r="O690" s="140"/>
    </row>
    <row r="691">
      <c r="O691" s="140"/>
    </row>
    <row r="692">
      <c r="O692" s="140"/>
    </row>
    <row r="693">
      <c r="O693" s="140"/>
    </row>
    <row r="694">
      <c r="O694" s="140"/>
    </row>
    <row r="695">
      <c r="O695" s="140"/>
    </row>
    <row r="696">
      <c r="O696" s="140"/>
    </row>
    <row r="697">
      <c r="O697" s="140"/>
    </row>
    <row r="698">
      <c r="O698" s="140"/>
    </row>
    <row r="699">
      <c r="O699" s="140"/>
    </row>
    <row r="700">
      <c r="O700" s="140"/>
    </row>
    <row r="701">
      <c r="O701" s="140"/>
    </row>
    <row r="702">
      <c r="O702" s="140"/>
    </row>
    <row r="703">
      <c r="O703" s="140"/>
    </row>
    <row r="704">
      <c r="O704" s="140"/>
    </row>
    <row r="705">
      <c r="O705" s="140"/>
    </row>
    <row r="706">
      <c r="O706" s="140"/>
    </row>
    <row r="707">
      <c r="O707" s="140"/>
    </row>
    <row r="708">
      <c r="O708" s="140"/>
    </row>
    <row r="709">
      <c r="O709" s="140"/>
    </row>
    <row r="710">
      <c r="O710" s="140"/>
    </row>
    <row r="711">
      <c r="O711" s="140"/>
    </row>
    <row r="712">
      <c r="O712" s="140"/>
    </row>
    <row r="713">
      <c r="O713" s="140"/>
    </row>
    <row r="714">
      <c r="O714" s="140"/>
    </row>
    <row r="715">
      <c r="O715" s="140"/>
    </row>
    <row r="716">
      <c r="O716" s="140"/>
    </row>
    <row r="717">
      <c r="O717" s="140"/>
    </row>
    <row r="718">
      <c r="O718" s="140"/>
    </row>
    <row r="719">
      <c r="O719" s="140"/>
    </row>
    <row r="720">
      <c r="O720" s="140"/>
    </row>
    <row r="721">
      <c r="O721" s="140"/>
    </row>
    <row r="722">
      <c r="O722" s="140"/>
    </row>
    <row r="723">
      <c r="O723" s="140"/>
    </row>
    <row r="724">
      <c r="O724" s="140"/>
    </row>
    <row r="725">
      <c r="O725" s="140"/>
    </row>
    <row r="726">
      <c r="O726" s="140"/>
    </row>
    <row r="727">
      <c r="O727" s="140"/>
    </row>
    <row r="728">
      <c r="O728" s="140"/>
    </row>
    <row r="729">
      <c r="O729" s="140"/>
    </row>
    <row r="730">
      <c r="O730" s="140"/>
    </row>
    <row r="731">
      <c r="O731" s="140"/>
    </row>
    <row r="732">
      <c r="O732" s="140"/>
    </row>
    <row r="733">
      <c r="O733" s="140"/>
    </row>
    <row r="734">
      <c r="O734" s="140"/>
    </row>
    <row r="735">
      <c r="O735" s="140"/>
    </row>
    <row r="736">
      <c r="O736" s="140"/>
    </row>
    <row r="737">
      <c r="O737" s="140"/>
    </row>
    <row r="738">
      <c r="O738" s="140"/>
    </row>
    <row r="739">
      <c r="O739" s="140"/>
    </row>
    <row r="740">
      <c r="O740" s="140"/>
    </row>
    <row r="741">
      <c r="O741" s="140"/>
    </row>
    <row r="742">
      <c r="O742" s="140"/>
    </row>
    <row r="743">
      <c r="O743" s="140"/>
    </row>
    <row r="744">
      <c r="O744" s="140"/>
    </row>
    <row r="745">
      <c r="O745" s="140"/>
    </row>
    <row r="746">
      <c r="O746" s="140"/>
    </row>
    <row r="747">
      <c r="O747" s="140"/>
    </row>
    <row r="748">
      <c r="O748" s="140"/>
    </row>
    <row r="749">
      <c r="O749" s="140"/>
    </row>
    <row r="750">
      <c r="O750" s="140"/>
    </row>
    <row r="751">
      <c r="O751" s="140"/>
    </row>
    <row r="752">
      <c r="O752" s="140"/>
    </row>
    <row r="753">
      <c r="O753" s="140"/>
    </row>
    <row r="754">
      <c r="O754" s="140"/>
    </row>
    <row r="755">
      <c r="O755" s="140"/>
    </row>
    <row r="756">
      <c r="O756" s="140"/>
    </row>
    <row r="757">
      <c r="O757" s="140"/>
    </row>
    <row r="758">
      <c r="O758" s="140"/>
    </row>
    <row r="759">
      <c r="O759" s="140"/>
    </row>
    <row r="760">
      <c r="O760" s="140"/>
    </row>
    <row r="761">
      <c r="O761" s="140"/>
    </row>
    <row r="762">
      <c r="O762" s="140"/>
    </row>
    <row r="763">
      <c r="O763" s="140"/>
    </row>
    <row r="764">
      <c r="O764" s="140"/>
    </row>
    <row r="765">
      <c r="O765" s="140"/>
    </row>
    <row r="766">
      <c r="O766" s="140"/>
    </row>
    <row r="767">
      <c r="O767" s="140"/>
    </row>
    <row r="768">
      <c r="O768" s="140"/>
    </row>
    <row r="769">
      <c r="O769" s="140"/>
    </row>
    <row r="770">
      <c r="O770" s="140"/>
    </row>
    <row r="771">
      <c r="O771" s="140"/>
    </row>
    <row r="772">
      <c r="O772" s="140"/>
    </row>
    <row r="773">
      <c r="O773" s="140"/>
    </row>
    <row r="774">
      <c r="O774" s="140"/>
    </row>
    <row r="775">
      <c r="O775" s="140"/>
    </row>
    <row r="776">
      <c r="O776" s="140"/>
    </row>
    <row r="777">
      <c r="O777" s="140"/>
    </row>
    <row r="778">
      <c r="O778" s="140"/>
    </row>
    <row r="779">
      <c r="O779" s="140"/>
    </row>
    <row r="780">
      <c r="O780" s="140"/>
    </row>
    <row r="781">
      <c r="O781" s="140"/>
    </row>
    <row r="782">
      <c r="O782" s="140"/>
    </row>
    <row r="783">
      <c r="O783" s="140"/>
    </row>
    <row r="784">
      <c r="O784" s="140"/>
    </row>
    <row r="785">
      <c r="O785" s="140"/>
    </row>
    <row r="786">
      <c r="O786" s="140"/>
    </row>
    <row r="787">
      <c r="O787" s="140"/>
    </row>
    <row r="788">
      <c r="O788" s="140"/>
    </row>
    <row r="789">
      <c r="O789" s="140"/>
    </row>
    <row r="790">
      <c r="O790" s="140"/>
    </row>
    <row r="791">
      <c r="O791" s="140"/>
    </row>
    <row r="792">
      <c r="O792" s="140"/>
    </row>
    <row r="793">
      <c r="O793" s="140"/>
    </row>
    <row r="794">
      <c r="O794" s="140"/>
    </row>
    <row r="795">
      <c r="O795" s="140"/>
    </row>
    <row r="796">
      <c r="O796" s="140"/>
    </row>
    <row r="797">
      <c r="O797" s="140"/>
    </row>
    <row r="798">
      <c r="O798" s="140"/>
    </row>
    <row r="799">
      <c r="O799" s="140"/>
    </row>
    <row r="800">
      <c r="O800" s="140"/>
    </row>
    <row r="801">
      <c r="O801" s="140"/>
    </row>
    <row r="802">
      <c r="O802" s="140"/>
    </row>
    <row r="803">
      <c r="O803" s="140"/>
    </row>
    <row r="804">
      <c r="O804" s="140"/>
    </row>
    <row r="805">
      <c r="O805" s="140"/>
    </row>
    <row r="806">
      <c r="O806" s="140"/>
    </row>
    <row r="807">
      <c r="O807" s="140"/>
    </row>
    <row r="808">
      <c r="O808" s="140"/>
    </row>
    <row r="809">
      <c r="O809" s="140"/>
    </row>
    <row r="810">
      <c r="O810" s="140"/>
    </row>
    <row r="811">
      <c r="O811" s="140"/>
    </row>
    <row r="812">
      <c r="O812" s="140"/>
    </row>
    <row r="813">
      <c r="O813" s="140"/>
    </row>
    <row r="814">
      <c r="O814" s="140"/>
    </row>
    <row r="815">
      <c r="O815" s="140"/>
    </row>
    <row r="816">
      <c r="O816" s="140"/>
    </row>
    <row r="817">
      <c r="O817" s="140"/>
    </row>
    <row r="818">
      <c r="O818" s="140"/>
    </row>
    <row r="819">
      <c r="O819" s="140"/>
    </row>
    <row r="820">
      <c r="O820" s="140"/>
    </row>
    <row r="821">
      <c r="O821" s="140"/>
    </row>
    <row r="822">
      <c r="O822" s="140"/>
    </row>
    <row r="823">
      <c r="O823" s="140"/>
    </row>
    <row r="824">
      <c r="O824" s="140"/>
    </row>
    <row r="825">
      <c r="O825" s="140"/>
    </row>
    <row r="826">
      <c r="O826" s="140"/>
    </row>
    <row r="827">
      <c r="O827" s="140"/>
    </row>
    <row r="828">
      <c r="O828" s="140"/>
    </row>
    <row r="829">
      <c r="O829" s="140"/>
    </row>
    <row r="830">
      <c r="O830" s="140"/>
    </row>
    <row r="831">
      <c r="O831" s="140"/>
    </row>
    <row r="832">
      <c r="O832" s="140"/>
    </row>
    <row r="833">
      <c r="O833" s="140"/>
    </row>
    <row r="834">
      <c r="O834" s="140"/>
    </row>
    <row r="835">
      <c r="O835" s="140"/>
    </row>
    <row r="836">
      <c r="O836" s="140"/>
    </row>
    <row r="837">
      <c r="O837" s="140"/>
    </row>
    <row r="838">
      <c r="O838" s="140"/>
    </row>
    <row r="839">
      <c r="O839" s="140"/>
    </row>
    <row r="840">
      <c r="O840" s="140"/>
    </row>
    <row r="841">
      <c r="O841" s="140"/>
    </row>
    <row r="842">
      <c r="O842" s="140"/>
    </row>
    <row r="843">
      <c r="O843" s="140"/>
    </row>
    <row r="844">
      <c r="O844" s="140"/>
    </row>
    <row r="845">
      <c r="O845" s="140"/>
    </row>
    <row r="846">
      <c r="O846" s="140"/>
    </row>
    <row r="847">
      <c r="O847" s="140"/>
    </row>
    <row r="848">
      <c r="O848" s="140"/>
    </row>
    <row r="849">
      <c r="O849" s="140"/>
    </row>
    <row r="850">
      <c r="O850" s="140"/>
    </row>
    <row r="851">
      <c r="O851" s="140"/>
    </row>
    <row r="852">
      <c r="O852" s="140"/>
    </row>
    <row r="853">
      <c r="O853" s="140"/>
    </row>
    <row r="854">
      <c r="O854" s="140"/>
    </row>
    <row r="855">
      <c r="O855" s="140"/>
    </row>
    <row r="856">
      <c r="O856" s="140"/>
    </row>
    <row r="857">
      <c r="O857" s="140"/>
    </row>
    <row r="858">
      <c r="O858" s="140"/>
    </row>
    <row r="859">
      <c r="O859" s="140"/>
    </row>
    <row r="860">
      <c r="O860" s="140"/>
    </row>
    <row r="861">
      <c r="O861" s="140"/>
    </row>
    <row r="862">
      <c r="O862" s="140"/>
    </row>
    <row r="863">
      <c r="O863" s="140"/>
    </row>
    <row r="864">
      <c r="O864" s="140"/>
    </row>
    <row r="865">
      <c r="O865" s="140"/>
    </row>
    <row r="866">
      <c r="O866" s="140"/>
    </row>
    <row r="867">
      <c r="O867" s="140"/>
    </row>
    <row r="868">
      <c r="O868" s="140"/>
    </row>
    <row r="869">
      <c r="O869" s="140"/>
    </row>
    <row r="870">
      <c r="O870" s="140"/>
    </row>
    <row r="871">
      <c r="O871" s="140"/>
    </row>
    <row r="872">
      <c r="O872" s="140"/>
    </row>
    <row r="873">
      <c r="O873" s="140"/>
    </row>
    <row r="874">
      <c r="O874" s="140"/>
    </row>
    <row r="875">
      <c r="O875" s="140"/>
    </row>
    <row r="876">
      <c r="O876" s="140"/>
    </row>
    <row r="877">
      <c r="O877" s="140"/>
    </row>
    <row r="878">
      <c r="O878" s="140"/>
    </row>
    <row r="879">
      <c r="O879" s="140"/>
    </row>
    <row r="880">
      <c r="O880" s="140"/>
    </row>
    <row r="881">
      <c r="O881" s="140"/>
    </row>
    <row r="882">
      <c r="O882" s="140"/>
    </row>
    <row r="883">
      <c r="O883" s="140"/>
    </row>
    <row r="884">
      <c r="O884" s="140"/>
    </row>
    <row r="885">
      <c r="O885" s="140"/>
    </row>
    <row r="886">
      <c r="O886" s="140"/>
    </row>
    <row r="887">
      <c r="O887" s="140"/>
    </row>
    <row r="888">
      <c r="O888" s="140"/>
    </row>
    <row r="889">
      <c r="O889" s="140"/>
    </row>
    <row r="890">
      <c r="O890" s="140"/>
    </row>
    <row r="891">
      <c r="O891" s="140"/>
    </row>
    <row r="892">
      <c r="O892" s="140"/>
    </row>
    <row r="893">
      <c r="O893" s="140"/>
    </row>
    <row r="894">
      <c r="O894" s="140"/>
    </row>
    <row r="895">
      <c r="O895" s="140"/>
    </row>
    <row r="896">
      <c r="O896" s="140"/>
    </row>
    <row r="897">
      <c r="O897" s="140"/>
    </row>
    <row r="898">
      <c r="O898" s="140"/>
    </row>
    <row r="899">
      <c r="O899" s="140"/>
    </row>
    <row r="900">
      <c r="O900" s="140"/>
    </row>
    <row r="901">
      <c r="O901" s="140"/>
    </row>
    <row r="902">
      <c r="O902" s="140"/>
    </row>
    <row r="903">
      <c r="O903" s="140"/>
    </row>
    <row r="904">
      <c r="O904" s="140"/>
    </row>
    <row r="905">
      <c r="O905" s="140"/>
    </row>
    <row r="906">
      <c r="O906" s="140"/>
    </row>
    <row r="907">
      <c r="O907" s="140"/>
    </row>
    <row r="908">
      <c r="O908" s="140"/>
    </row>
    <row r="909">
      <c r="O909" s="140"/>
    </row>
    <row r="910">
      <c r="O910" s="140"/>
    </row>
    <row r="911">
      <c r="O911" s="140"/>
    </row>
    <row r="912">
      <c r="O912" s="140"/>
    </row>
    <row r="913">
      <c r="O913" s="140"/>
    </row>
    <row r="914">
      <c r="O914" s="140"/>
    </row>
    <row r="915">
      <c r="O915" s="140"/>
    </row>
    <row r="916">
      <c r="O916" s="140"/>
    </row>
    <row r="917">
      <c r="O917" s="140"/>
    </row>
    <row r="918">
      <c r="O918" s="140"/>
    </row>
    <row r="919">
      <c r="O919" s="140"/>
    </row>
    <row r="920">
      <c r="O920" s="140"/>
    </row>
    <row r="921">
      <c r="O921" s="140"/>
    </row>
    <row r="922">
      <c r="O922" s="140"/>
    </row>
    <row r="923">
      <c r="O923" s="140"/>
    </row>
    <row r="924">
      <c r="O924" s="140"/>
    </row>
    <row r="925">
      <c r="O925" s="140"/>
    </row>
    <row r="926">
      <c r="O926" s="140"/>
    </row>
    <row r="927">
      <c r="O927" s="140"/>
    </row>
    <row r="928">
      <c r="O928" s="140"/>
    </row>
    <row r="929">
      <c r="O929" s="140"/>
    </row>
    <row r="930">
      <c r="O930" s="140"/>
    </row>
    <row r="931">
      <c r="O931" s="140"/>
    </row>
    <row r="932">
      <c r="O932" s="140"/>
    </row>
    <row r="933">
      <c r="O933" s="140"/>
    </row>
    <row r="934">
      <c r="O934" s="140"/>
    </row>
    <row r="935">
      <c r="O935" s="140"/>
    </row>
    <row r="936">
      <c r="O936" s="140"/>
    </row>
    <row r="937">
      <c r="O937" s="140"/>
    </row>
    <row r="938">
      <c r="O938" s="140"/>
    </row>
    <row r="939">
      <c r="O939" s="140"/>
    </row>
    <row r="940">
      <c r="O940" s="140"/>
    </row>
    <row r="941">
      <c r="O941" s="140"/>
    </row>
    <row r="942">
      <c r="O942" s="140"/>
    </row>
    <row r="943">
      <c r="O943" s="140"/>
    </row>
    <row r="944">
      <c r="O944" s="140"/>
    </row>
    <row r="945">
      <c r="O945" s="140"/>
    </row>
    <row r="946">
      <c r="O946" s="140"/>
    </row>
    <row r="947">
      <c r="O947" s="140"/>
    </row>
    <row r="948">
      <c r="O948" s="140"/>
    </row>
    <row r="949">
      <c r="O949" s="140"/>
    </row>
    <row r="950">
      <c r="O950" s="140"/>
    </row>
    <row r="951">
      <c r="O951" s="140"/>
    </row>
    <row r="952">
      <c r="O952" s="140"/>
    </row>
    <row r="953">
      <c r="O953" s="140"/>
    </row>
    <row r="954">
      <c r="O954" s="140"/>
    </row>
    <row r="955">
      <c r="O955" s="140"/>
    </row>
    <row r="956">
      <c r="O956" s="140"/>
    </row>
    <row r="957">
      <c r="O957" s="140"/>
    </row>
    <row r="958">
      <c r="O958" s="140"/>
    </row>
    <row r="959">
      <c r="O959" s="140"/>
    </row>
    <row r="960">
      <c r="O960" s="140"/>
    </row>
    <row r="961">
      <c r="O961" s="140"/>
    </row>
    <row r="962">
      <c r="O962" s="140"/>
    </row>
    <row r="963">
      <c r="O963" s="140"/>
    </row>
    <row r="964">
      <c r="O964" s="140"/>
    </row>
    <row r="965">
      <c r="O965" s="140"/>
    </row>
    <row r="966">
      <c r="O966" s="140"/>
    </row>
    <row r="967">
      <c r="O967" s="140"/>
    </row>
    <row r="968">
      <c r="O968" s="140"/>
    </row>
    <row r="969">
      <c r="O969" s="140"/>
    </row>
    <row r="970">
      <c r="O970" s="140"/>
    </row>
    <row r="971">
      <c r="O971" s="140"/>
    </row>
    <row r="972">
      <c r="O972" s="140"/>
    </row>
    <row r="973">
      <c r="O973" s="140"/>
    </row>
    <row r="974">
      <c r="O974" s="140"/>
    </row>
    <row r="975">
      <c r="O975" s="140"/>
    </row>
    <row r="976">
      <c r="O976" s="140"/>
    </row>
    <row r="977">
      <c r="O977" s="140"/>
    </row>
    <row r="978">
      <c r="O978" s="1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</cols>
  <sheetData>
    <row r="1">
      <c r="B1" s="5">
        <f>IFERROR(__xludf.DUMMYFUNCTION("GOOGLEFINANCE(""CURRENCY:USDKRW"")"),1452.4850000000001)</f>
        <v>1452.485</v>
      </c>
      <c r="K1" s="109" t="s">
        <v>141</v>
      </c>
    </row>
    <row r="2">
      <c r="A2" s="139" t="s">
        <v>126</v>
      </c>
      <c r="B2" s="139" t="s">
        <v>1</v>
      </c>
      <c r="C2" s="139" t="s">
        <v>127</v>
      </c>
      <c r="D2" s="139" t="s">
        <v>128</v>
      </c>
      <c r="E2" s="139" t="s">
        <v>129</v>
      </c>
      <c r="F2" s="139" t="s">
        <v>130</v>
      </c>
      <c r="G2" s="139" t="s">
        <v>131</v>
      </c>
      <c r="H2" s="139" t="s">
        <v>132</v>
      </c>
      <c r="I2" s="139" t="s">
        <v>133</v>
      </c>
      <c r="J2" s="139" t="s">
        <v>137</v>
      </c>
      <c r="K2" s="64"/>
      <c r="L2" s="64"/>
      <c r="M2" s="109" t="s">
        <v>1</v>
      </c>
      <c r="N2" s="109" t="s">
        <v>137</v>
      </c>
    </row>
    <row r="3">
      <c r="A3" s="127">
        <v>1.0</v>
      </c>
      <c r="B3" s="109" t="s">
        <v>6</v>
      </c>
      <c r="C3" s="141">
        <v>25.0</v>
      </c>
      <c r="D3" s="142">
        <v>31524.0</v>
      </c>
      <c r="E3" s="142">
        <v>788100.0</v>
      </c>
      <c r="F3" s="65">
        <f>IFERROR(__xludf.DUMMYFUNCTION("IFERROR(GOOGLEFINANCE(""381180"", ""price""), NAVER_PRICE(""381180""))"),43465.0)</f>
        <v>43465</v>
      </c>
      <c r="G3" s="65">
        <f t="shared" ref="G3:G7" si="1">F3*C3</f>
        <v>1086625</v>
      </c>
      <c r="H3" s="65">
        <f t="shared" ref="H3:H7" si="2">G3-E3</f>
        <v>298525</v>
      </c>
      <c r="I3" s="130">
        <f t="shared" ref="I3:I7" si="3">IF(E3&lt;&gt;0, H3/E3, 0)</f>
        <v>0.3787907626</v>
      </c>
      <c r="J3" s="130">
        <f t="shared" ref="J3:J7" si="4">IF($G$8=0, 0, G3/$G$8)</f>
        <v>0.2043676803</v>
      </c>
      <c r="K3" s="143"/>
      <c r="L3" s="130"/>
      <c r="M3" s="109" t="s">
        <v>6</v>
      </c>
      <c r="N3" s="127">
        <v>0.20294283704438043</v>
      </c>
    </row>
    <row r="4">
      <c r="A4" s="127">
        <v>2.0</v>
      </c>
      <c r="B4" s="109" t="s">
        <v>26</v>
      </c>
      <c r="C4" s="141">
        <v>32.0</v>
      </c>
      <c r="D4" s="142">
        <v>30549.375</v>
      </c>
      <c r="E4" s="142">
        <v>977580.0</v>
      </c>
      <c r="F4" s="65">
        <f>IFERROR(__xludf.DUMMYFUNCTION("IFERROR(GOOGLEFINANCE(""411060"", ""price""), NAVER_PRICE(""411060""))"),30815.0)</f>
        <v>30815</v>
      </c>
      <c r="G4" s="65">
        <f t="shared" si="1"/>
        <v>986080</v>
      </c>
      <c r="H4" s="65">
        <f t="shared" si="2"/>
        <v>8500</v>
      </c>
      <c r="I4" s="130">
        <f t="shared" si="3"/>
        <v>0.008694940568</v>
      </c>
      <c r="J4" s="130">
        <f t="shared" si="4"/>
        <v>0.1854576162</v>
      </c>
      <c r="K4" s="143"/>
      <c r="L4" s="130"/>
      <c r="M4" s="109" t="s">
        <v>26</v>
      </c>
      <c r="N4" s="127">
        <v>0.1982474069975078</v>
      </c>
    </row>
    <row r="5">
      <c r="A5" s="127">
        <v>3.0</v>
      </c>
      <c r="B5" s="109" t="s">
        <v>77</v>
      </c>
      <c r="C5" s="141">
        <v>50.0</v>
      </c>
      <c r="D5" s="142">
        <v>11384.0</v>
      </c>
      <c r="E5" s="142">
        <v>569200.0</v>
      </c>
      <c r="F5" s="65" t="str">
        <f>IFERROR(__xludf.DUMMYFUNCTION("IFERROR(GOOGLEFINANCE(""0086B0"", ""price""), NAVER_PRICE(""0086B0""))"),"10,760")</f>
        <v>10,760</v>
      </c>
      <c r="G5" s="65">
        <f t="shared" si="1"/>
        <v>538000</v>
      </c>
      <c r="H5" s="65">
        <f t="shared" si="2"/>
        <v>-31200</v>
      </c>
      <c r="I5" s="130">
        <f t="shared" si="3"/>
        <v>-0.05481377372</v>
      </c>
      <c r="J5" s="130">
        <f t="shared" si="4"/>
        <v>0.1011846884</v>
      </c>
      <c r="K5" s="143"/>
      <c r="L5" s="130"/>
      <c r="M5" s="109" t="s">
        <v>77</v>
      </c>
      <c r="N5" s="127">
        <v>0.1142462757653939</v>
      </c>
    </row>
    <row r="6">
      <c r="A6" s="127">
        <v>4.0</v>
      </c>
      <c r="B6" s="109" t="s">
        <v>34</v>
      </c>
      <c r="C6" s="141">
        <v>58.0</v>
      </c>
      <c r="D6" s="142">
        <v>31500.689655172413</v>
      </c>
      <c r="E6" s="142">
        <v>1827040.0</v>
      </c>
      <c r="F6" s="65">
        <f>IFERROR(__xludf.DUMMYFUNCTION("IFERROR(GOOGLEFINANCE(""278530"", ""price""), NAVER_PRICE(""278530""))"),41750.0)</f>
        <v>41750</v>
      </c>
      <c r="G6" s="65">
        <f t="shared" si="1"/>
        <v>2421500</v>
      </c>
      <c r="H6" s="65">
        <f t="shared" si="2"/>
        <v>594460</v>
      </c>
      <c r="I6" s="130">
        <f t="shared" si="3"/>
        <v>0.325367808</v>
      </c>
      <c r="J6" s="130">
        <f t="shared" si="4"/>
        <v>0.4554251356</v>
      </c>
      <c r="K6" s="143"/>
      <c r="L6" s="130"/>
      <c r="M6" s="109" t="s">
        <v>34</v>
      </c>
      <c r="N6" s="127">
        <v>0.4283102067153124</v>
      </c>
    </row>
    <row r="7">
      <c r="A7" s="127">
        <v>5.0</v>
      </c>
      <c r="B7" s="109" t="s">
        <v>23</v>
      </c>
      <c r="C7" s="141">
        <v>9.0</v>
      </c>
      <c r="D7" s="142">
        <v>30662.222222222223</v>
      </c>
      <c r="E7" s="142">
        <v>275960.0</v>
      </c>
      <c r="F7" s="65">
        <f>IFERROR(__xludf.DUMMYFUNCTION("IFERROR(GOOGLEFINANCE(""367380"", ""price""), NAVER_PRICE(""367380""))"),31645.0)</f>
        <v>31645</v>
      </c>
      <c r="G7" s="65">
        <f t="shared" si="1"/>
        <v>284805</v>
      </c>
      <c r="H7" s="65">
        <f t="shared" si="2"/>
        <v>8845</v>
      </c>
      <c r="I7" s="130">
        <f t="shared" si="3"/>
        <v>0.03205174663</v>
      </c>
      <c r="J7" s="130">
        <f t="shared" si="4"/>
        <v>0.05356487951</v>
      </c>
      <c r="M7" s="109" t="s">
        <v>23</v>
      </c>
      <c r="N7" s="127">
        <v>0.056253273477405476</v>
      </c>
    </row>
    <row r="8">
      <c r="F8" s="109" t="s">
        <v>142</v>
      </c>
      <c r="G8" s="65">
        <f>SUM(G3:G7)</f>
        <v>5317010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8.25"/>
    <col customWidth="1" min="13" max="13" width="25.5"/>
  </cols>
  <sheetData>
    <row r="1" ht="27.75" customHeight="1">
      <c r="B1" s="5">
        <f>IFERROR(__xludf.DUMMYFUNCTION("GOOGLEFINANCE(""CURRENCY:USDKRW"")"),1452.4850000000001)</f>
        <v>1452.485</v>
      </c>
      <c r="C1" s="64"/>
      <c r="M1" s="64"/>
    </row>
    <row r="2">
      <c r="A2" s="109" t="s">
        <v>126</v>
      </c>
      <c r="B2" s="109" t="s">
        <v>1</v>
      </c>
      <c r="C2" s="109" t="s">
        <v>127</v>
      </c>
      <c r="D2" s="109" t="s">
        <v>128</v>
      </c>
      <c r="E2" s="109" t="s">
        <v>129</v>
      </c>
      <c r="F2" s="109" t="s">
        <v>130</v>
      </c>
      <c r="G2" s="109" t="s">
        <v>131</v>
      </c>
      <c r="H2" s="109" t="s">
        <v>132</v>
      </c>
      <c r="I2" s="109" t="s">
        <v>133</v>
      </c>
      <c r="J2" s="109" t="s">
        <v>134</v>
      </c>
      <c r="K2" s="109" t="s">
        <v>135</v>
      </c>
      <c r="L2" s="109" t="s">
        <v>137</v>
      </c>
      <c r="O2" s="140"/>
      <c r="P2" s="64"/>
    </row>
    <row r="3">
      <c r="A3" s="64"/>
      <c r="B3" s="64"/>
      <c r="C3" s="144"/>
      <c r="D3" s="65"/>
      <c r="E3" s="65"/>
      <c r="F3" s="65"/>
      <c r="G3" s="65"/>
      <c r="H3" s="65"/>
      <c r="I3" s="130"/>
      <c r="J3" s="143"/>
      <c r="K3" s="143"/>
      <c r="L3" s="130"/>
      <c r="O3" s="140"/>
      <c r="P3" s="64"/>
    </row>
    <row r="4">
      <c r="A4" s="64"/>
      <c r="B4" s="64"/>
      <c r="C4" s="144"/>
      <c r="D4" s="65"/>
      <c r="E4" s="65"/>
      <c r="F4" s="65"/>
      <c r="G4" s="65"/>
      <c r="H4" s="65"/>
      <c r="I4" s="130"/>
      <c r="J4" s="143"/>
      <c r="K4" s="143"/>
      <c r="L4" s="130"/>
      <c r="O4" s="140"/>
      <c r="P4" s="64"/>
    </row>
    <row r="5">
      <c r="B5" s="64"/>
      <c r="C5" s="144"/>
      <c r="D5" s="65"/>
      <c r="E5" s="65"/>
      <c r="F5" s="65"/>
      <c r="G5" s="65"/>
      <c r="H5" s="65"/>
      <c r="I5" s="130"/>
      <c r="J5" s="143"/>
      <c r="K5" s="143"/>
      <c r="L5" s="130"/>
    </row>
    <row r="6">
      <c r="B6" s="64"/>
      <c r="C6" s="144"/>
      <c r="D6" s="65"/>
      <c r="E6" s="65"/>
      <c r="F6" s="65"/>
      <c r="G6" s="65"/>
      <c r="H6" s="65"/>
      <c r="I6" s="130"/>
      <c r="J6" s="143"/>
      <c r="K6" s="143"/>
      <c r="L6" s="130"/>
    </row>
    <row r="7">
      <c r="B7" s="64"/>
      <c r="C7" s="144"/>
      <c r="D7" s="65"/>
      <c r="E7" s="65"/>
      <c r="F7" s="65"/>
      <c r="G7" s="65"/>
      <c r="H7" s="65"/>
      <c r="I7" s="130"/>
      <c r="J7" s="143"/>
      <c r="K7" s="143"/>
      <c r="L7" s="130"/>
    </row>
    <row r="8">
      <c r="B8" s="64"/>
      <c r="C8" s="144"/>
      <c r="D8" s="65"/>
      <c r="E8" s="65"/>
      <c r="F8" s="65"/>
      <c r="G8" s="65"/>
      <c r="H8" s="65"/>
      <c r="I8" s="130"/>
      <c r="J8" s="143"/>
      <c r="K8" s="143"/>
      <c r="L8" s="130"/>
    </row>
    <row r="9">
      <c r="B9" s="64"/>
      <c r="C9" s="144"/>
      <c r="D9" s="65"/>
      <c r="E9" s="65"/>
      <c r="F9" s="65"/>
      <c r="G9" s="65"/>
      <c r="H9" s="65"/>
      <c r="I9" s="130"/>
      <c r="J9" s="143"/>
      <c r="K9" s="143"/>
      <c r="L9" s="130"/>
    </row>
    <row r="10">
      <c r="B10" s="64"/>
      <c r="C10" s="144"/>
      <c r="D10" s="65"/>
      <c r="E10" s="65"/>
      <c r="F10" s="65"/>
      <c r="G10" s="65"/>
      <c r="H10" s="65"/>
      <c r="I10" s="130"/>
      <c r="J10" s="143"/>
      <c r="K10" s="143"/>
      <c r="L10" s="130"/>
    </row>
    <row r="11">
      <c r="B11" s="64"/>
      <c r="C11" s="144"/>
      <c r="D11" s="65"/>
      <c r="E11" s="65"/>
      <c r="F11" s="65"/>
      <c r="G11" s="65"/>
      <c r="H11" s="65"/>
      <c r="I11" s="130"/>
      <c r="J11" s="143"/>
      <c r="K11" s="143"/>
      <c r="L11" s="130"/>
    </row>
    <row r="12">
      <c r="B12" s="64"/>
      <c r="C12" s="144"/>
      <c r="D12" s="65"/>
      <c r="E12" s="65"/>
      <c r="F12" s="65"/>
      <c r="G12" s="65"/>
      <c r="H12" s="65"/>
      <c r="I12" s="130"/>
      <c r="J12" s="143"/>
      <c r="K12" s="143"/>
      <c r="L12" s="130"/>
    </row>
    <row r="13">
      <c r="B13" s="64"/>
      <c r="C13" s="144"/>
      <c r="D13" s="65"/>
      <c r="E13" s="65"/>
      <c r="F13" s="65"/>
      <c r="G13" s="65"/>
      <c r="H13" s="65"/>
      <c r="I13" s="130"/>
      <c r="J13" s="143"/>
      <c r="K13" s="143"/>
      <c r="L13" s="130"/>
    </row>
    <row r="14">
      <c r="B14" s="64"/>
      <c r="C14" s="144"/>
      <c r="D14" s="65"/>
      <c r="E14" s="65"/>
      <c r="F14" s="65"/>
      <c r="G14" s="65"/>
      <c r="H14" s="65"/>
      <c r="I14" s="130"/>
      <c r="J14" s="143"/>
      <c r="K14" s="143"/>
      <c r="L14" s="130"/>
    </row>
    <row r="15">
      <c r="B15" s="64"/>
      <c r="C15" s="144"/>
      <c r="D15" s="65"/>
      <c r="E15" s="65"/>
      <c r="F15" s="65"/>
      <c r="G15" s="65"/>
      <c r="H15" s="65"/>
      <c r="I15" s="130"/>
      <c r="J15" s="143"/>
      <c r="K15" s="143"/>
      <c r="L15" s="130"/>
    </row>
    <row r="16">
      <c r="B16" s="64"/>
      <c r="C16" s="144"/>
      <c r="D16" s="65"/>
      <c r="E16" s="65"/>
      <c r="F16" s="65"/>
      <c r="G16" s="65"/>
      <c r="H16" s="65"/>
      <c r="I16" s="130"/>
      <c r="L16" s="130"/>
    </row>
    <row r="17">
      <c r="B17" s="64"/>
      <c r="C17" s="145"/>
      <c r="D17" s="134"/>
      <c r="E17" s="134"/>
      <c r="F17" s="65"/>
      <c r="G17" s="65"/>
      <c r="H17" s="65"/>
      <c r="I17" s="130"/>
      <c r="L17" s="130"/>
    </row>
    <row r="18">
      <c r="B18" s="64"/>
      <c r="C18" s="134"/>
    </row>
    <row r="19">
      <c r="B19" s="64"/>
      <c r="C19" s="134"/>
    </row>
    <row r="20">
      <c r="B20" s="64"/>
      <c r="C20" s="134"/>
    </row>
    <row r="21">
      <c r="B21" s="64"/>
      <c r="C21" s="1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3" width="2.88"/>
    <col customWidth="1" min="4" max="4" width="26.63"/>
    <col customWidth="1" min="5" max="5" width="6.5"/>
    <col customWidth="1" min="6" max="6" width="6.13"/>
    <col customWidth="1" min="7" max="7" width="7.63"/>
    <col customWidth="1" min="8" max="8" width="8.63"/>
    <col customWidth="1" min="9" max="9" width="4.13"/>
    <col customWidth="1" min="10" max="10" width="10.25"/>
    <col customWidth="1" min="11" max="11" width="3.25"/>
  </cols>
  <sheetData>
    <row r="1">
      <c r="A1" s="147" t="s">
        <v>143</v>
      </c>
      <c r="B1" s="147" t="s">
        <v>102</v>
      </c>
      <c r="C1" s="147" t="s">
        <v>103</v>
      </c>
      <c r="D1" s="147" t="s">
        <v>1</v>
      </c>
      <c r="E1" s="147" t="s">
        <v>105</v>
      </c>
      <c r="F1" s="147" t="s">
        <v>144</v>
      </c>
      <c r="G1" s="147" t="s">
        <v>2</v>
      </c>
      <c r="H1" s="147" t="s">
        <v>145</v>
      </c>
      <c r="I1" s="148"/>
      <c r="J1" s="148"/>
      <c r="L1" s="134"/>
    </row>
    <row r="2">
      <c r="A2" s="149">
        <v>2024.0</v>
      </c>
      <c r="B2" s="149">
        <v>6.0</v>
      </c>
      <c r="C2" s="149">
        <v>14.0</v>
      </c>
      <c r="D2" s="150" t="s">
        <v>41</v>
      </c>
      <c r="F2" s="151">
        <v>4.47</v>
      </c>
      <c r="G2" s="150" t="s">
        <v>12</v>
      </c>
      <c r="H2" s="151">
        <v>0.75</v>
      </c>
      <c r="I2" s="150" t="s">
        <v>112</v>
      </c>
      <c r="J2" s="148"/>
      <c r="L2" s="134"/>
      <c r="N2" s="74"/>
      <c r="O2" s="74"/>
      <c r="P2" s="74"/>
      <c r="Q2" s="79"/>
      <c r="R2" s="80"/>
      <c r="S2" s="75"/>
      <c r="T2" s="88"/>
      <c r="U2" s="78"/>
      <c r="V2" s="78"/>
      <c r="W2" s="78"/>
      <c r="X2" s="88"/>
    </row>
    <row r="3">
      <c r="A3" s="149">
        <v>2024.0</v>
      </c>
      <c r="B3" s="149">
        <v>6.0</v>
      </c>
      <c r="C3" s="150">
        <v>4.0</v>
      </c>
      <c r="D3" s="150" t="s">
        <v>146</v>
      </c>
      <c r="F3" s="151">
        <v>4.36</v>
      </c>
      <c r="G3" s="150" t="s">
        <v>12</v>
      </c>
      <c r="H3" s="151">
        <v>0.57</v>
      </c>
      <c r="I3" s="150" t="s">
        <v>112</v>
      </c>
      <c r="J3" s="148"/>
      <c r="L3" s="134"/>
    </row>
    <row r="4">
      <c r="A4" s="149">
        <v>2024.0</v>
      </c>
      <c r="B4" s="149">
        <v>6.0</v>
      </c>
      <c r="C4" s="150">
        <v>4.0</v>
      </c>
      <c r="D4" s="150" t="s">
        <v>147</v>
      </c>
      <c r="F4" s="152">
        <v>7155.0</v>
      </c>
      <c r="G4" s="150" t="s">
        <v>7</v>
      </c>
      <c r="H4" s="152">
        <v>7155.0</v>
      </c>
      <c r="I4" s="150" t="s">
        <v>112</v>
      </c>
      <c r="J4" s="150" t="s">
        <v>148</v>
      </c>
      <c r="L4" s="134"/>
    </row>
    <row r="5">
      <c r="A5" s="149">
        <v>2024.0</v>
      </c>
      <c r="B5" s="150">
        <v>5.0</v>
      </c>
      <c r="C5" s="150">
        <v>28.0</v>
      </c>
      <c r="D5" s="150" t="s">
        <v>149</v>
      </c>
      <c r="F5" s="151">
        <v>3.6</v>
      </c>
      <c r="G5" s="150" t="s">
        <v>12</v>
      </c>
      <c r="H5" s="151">
        <v>0.53</v>
      </c>
      <c r="I5" s="150" t="s">
        <v>112</v>
      </c>
      <c r="J5" s="148"/>
      <c r="L5" s="134"/>
    </row>
    <row r="6">
      <c r="A6" s="149">
        <v>2024.0</v>
      </c>
      <c r="B6" s="150">
        <v>5.0</v>
      </c>
      <c r="C6" s="150">
        <v>17.0</v>
      </c>
      <c r="D6" s="150" t="s">
        <v>43</v>
      </c>
      <c r="F6" s="151">
        <v>10.93</v>
      </c>
      <c r="G6" s="150" t="s">
        <v>12</v>
      </c>
      <c r="H6" s="151">
        <v>0.257</v>
      </c>
      <c r="I6" s="150" t="s">
        <v>112</v>
      </c>
      <c r="J6" s="148"/>
      <c r="L6" s="134"/>
    </row>
    <row r="7">
      <c r="A7" s="149">
        <v>2024.0</v>
      </c>
      <c r="B7" s="150">
        <v>5.0</v>
      </c>
      <c r="C7" s="150">
        <v>17.0</v>
      </c>
      <c r="D7" s="150" t="s">
        <v>150</v>
      </c>
      <c r="F7" s="151">
        <v>4.03</v>
      </c>
      <c r="G7" s="150" t="s">
        <v>12</v>
      </c>
      <c r="H7" s="151">
        <v>0.25</v>
      </c>
      <c r="I7" s="150" t="s">
        <v>112</v>
      </c>
      <c r="J7" s="148"/>
      <c r="L7" s="134"/>
    </row>
    <row r="8">
      <c r="A8" s="149">
        <v>2024.0</v>
      </c>
      <c r="B8" s="150">
        <v>5.0</v>
      </c>
      <c r="C8" s="150">
        <v>3.0</v>
      </c>
      <c r="D8" s="150" t="s">
        <v>151</v>
      </c>
      <c r="F8" s="151">
        <v>5.42</v>
      </c>
      <c r="G8" s="150" t="s">
        <v>12</v>
      </c>
      <c r="H8" s="151">
        <v>1.594937</v>
      </c>
      <c r="I8" s="150" t="s">
        <v>112</v>
      </c>
      <c r="J8" s="148"/>
      <c r="L8" s="134"/>
    </row>
    <row r="9">
      <c r="A9" s="149">
        <v>2024.0</v>
      </c>
      <c r="B9" s="150">
        <v>4.0</v>
      </c>
      <c r="C9" s="150">
        <v>2.0</v>
      </c>
      <c r="D9" s="150" t="s">
        <v>147</v>
      </c>
      <c r="F9" s="152">
        <v>9540.0</v>
      </c>
      <c r="G9" s="150" t="s">
        <v>7</v>
      </c>
      <c r="H9" s="152">
        <v>9540.0</v>
      </c>
      <c r="I9" s="150" t="s">
        <v>112</v>
      </c>
      <c r="J9" s="150" t="s">
        <v>148</v>
      </c>
      <c r="L9" s="134"/>
    </row>
    <row r="10">
      <c r="A10" s="149">
        <v>2024.0</v>
      </c>
      <c r="B10" s="150">
        <v>4.0</v>
      </c>
      <c r="C10" s="150">
        <v>3.0</v>
      </c>
      <c r="D10" s="150" t="s">
        <v>63</v>
      </c>
      <c r="F10" s="151">
        <v>44.94</v>
      </c>
      <c r="G10" s="150" t="s">
        <v>12</v>
      </c>
      <c r="H10" s="151">
        <v>0.485</v>
      </c>
      <c r="I10" s="150" t="s">
        <v>112</v>
      </c>
      <c r="J10" s="148"/>
      <c r="L10" s="134"/>
    </row>
    <row r="11">
      <c r="A11" s="149">
        <v>2024.0</v>
      </c>
      <c r="B11" s="150">
        <v>3.0</v>
      </c>
      <c r="C11" s="150">
        <v>29.0</v>
      </c>
      <c r="D11" s="150" t="s">
        <v>152</v>
      </c>
      <c r="F11" s="151">
        <v>4.24</v>
      </c>
      <c r="G11" s="150" t="s">
        <v>12</v>
      </c>
      <c r="H11" s="151">
        <v>1.665327</v>
      </c>
      <c r="I11" s="150" t="s">
        <v>112</v>
      </c>
      <c r="J11" s="148"/>
      <c r="L11" s="134"/>
    </row>
    <row r="12">
      <c r="A12" s="149">
        <v>2024.0</v>
      </c>
      <c r="B12" s="150">
        <v>3.0</v>
      </c>
      <c r="C12" s="150">
        <v>29.0</v>
      </c>
      <c r="D12" s="150" t="s">
        <v>46</v>
      </c>
      <c r="F12" s="151">
        <v>1.31</v>
      </c>
      <c r="G12" s="150" t="s">
        <v>12</v>
      </c>
      <c r="H12" s="151">
        <v>1.5429</v>
      </c>
      <c r="I12" s="150" t="s">
        <v>112</v>
      </c>
      <c r="J12" s="148"/>
      <c r="L12" s="134"/>
    </row>
    <row r="13">
      <c r="A13" s="149">
        <v>2024.0</v>
      </c>
      <c r="B13" s="149">
        <v>6.0</v>
      </c>
      <c r="C13" s="149">
        <v>14.0</v>
      </c>
      <c r="D13" s="150" t="s">
        <v>43</v>
      </c>
      <c r="F13" s="151">
        <v>0.44</v>
      </c>
      <c r="G13" s="150" t="s">
        <v>12</v>
      </c>
      <c r="H13" s="148"/>
      <c r="I13" s="150" t="s">
        <v>121</v>
      </c>
      <c r="J13" s="148"/>
      <c r="L13" s="134"/>
    </row>
    <row r="14">
      <c r="A14" s="149">
        <v>2024.0</v>
      </c>
      <c r="B14" s="149">
        <v>6.0</v>
      </c>
      <c r="C14" s="150">
        <v>15.0</v>
      </c>
      <c r="D14" s="150" t="s">
        <v>43</v>
      </c>
      <c r="F14" s="151">
        <v>11.16</v>
      </c>
      <c r="G14" s="150" t="s">
        <v>12</v>
      </c>
      <c r="H14" s="151">
        <v>0.2625</v>
      </c>
      <c r="I14" s="150" t="s">
        <v>112</v>
      </c>
      <c r="J14" s="148"/>
      <c r="L14" s="134"/>
    </row>
    <row r="15">
      <c r="A15" s="149">
        <v>2024.0</v>
      </c>
      <c r="B15" s="149">
        <v>6.0</v>
      </c>
      <c r="C15" s="150">
        <v>15.0</v>
      </c>
      <c r="D15" s="150" t="s">
        <v>85</v>
      </c>
      <c r="F15" s="151">
        <v>28.55</v>
      </c>
      <c r="G15" s="150" t="s">
        <v>12</v>
      </c>
      <c r="H15" s="151">
        <v>0.42</v>
      </c>
      <c r="I15" s="150" t="s">
        <v>112</v>
      </c>
      <c r="J15" s="148"/>
      <c r="L15" s="134"/>
    </row>
    <row r="16">
      <c r="A16" s="86">
        <v>2024.0</v>
      </c>
      <c r="B16" s="86">
        <v>1.0</v>
      </c>
      <c r="C16" s="86">
        <v>2.0</v>
      </c>
      <c r="D16" s="82" t="s">
        <v>153</v>
      </c>
      <c r="E16" s="45"/>
      <c r="F16" s="153">
        <f>sum(1.9+1.04-0.16)</f>
        <v>2.78</v>
      </c>
      <c r="G16" s="148"/>
      <c r="H16" s="148"/>
      <c r="I16" s="148"/>
      <c r="J16" s="148"/>
      <c r="L16" s="134"/>
    </row>
    <row r="17">
      <c r="A17" s="86">
        <v>2023.0</v>
      </c>
      <c r="B17" s="86">
        <v>12.0</v>
      </c>
      <c r="C17" s="86">
        <v>28.0</v>
      </c>
      <c r="D17" s="82" t="s">
        <v>74</v>
      </c>
      <c r="E17" s="45"/>
      <c r="F17" s="153">
        <f>sum(1.12-0.16)</f>
        <v>0.96</v>
      </c>
      <c r="G17" s="148"/>
      <c r="H17" s="148"/>
      <c r="I17" s="148"/>
      <c r="J17" s="148"/>
      <c r="L17" s="134"/>
    </row>
    <row r="18">
      <c r="A18" s="86">
        <v>2023.0</v>
      </c>
      <c r="B18" s="86">
        <v>12.0</v>
      </c>
      <c r="C18" s="86">
        <v>28.0</v>
      </c>
      <c r="D18" s="82" t="s">
        <v>154</v>
      </c>
      <c r="E18" s="45"/>
      <c r="F18" s="153">
        <f>sum(5.77-0.87)</f>
        <v>4.9</v>
      </c>
      <c r="G18" s="148"/>
      <c r="H18" s="148"/>
      <c r="I18" s="148"/>
      <c r="J18" s="148"/>
      <c r="L18" s="134"/>
    </row>
    <row r="19">
      <c r="A19" s="86">
        <v>2023.0</v>
      </c>
      <c r="B19" s="86">
        <v>12.0</v>
      </c>
      <c r="C19" s="86">
        <v>27.0</v>
      </c>
      <c r="D19" s="82" t="s">
        <v>155</v>
      </c>
      <c r="E19" s="45"/>
      <c r="F19" s="153">
        <v>0.49</v>
      </c>
      <c r="G19" s="148"/>
      <c r="H19" s="148"/>
      <c r="I19" s="148"/>
      <c r="J19" s="148"/>
      <c r="L19" s="134"/>
    </row>
    <row r="20">
      <c r="A20" s="86">
        <v>2023.0</v>
      </c>
      <c r="B20" s="86">
        <v>12.0</v>
      </c>
      <c r="C20" s="86">
        <v>27.0</v>
      </c>
      <c r="D20" s="82" t="s">
        <v>47</v>
      </c>
      <c r="E20" s="45"/>
      <c r="F20" s="153">
        <f>sum(1.8-0.27)</f>
        <v>1.53</v>
      </c>
      <c r="G20" s="148"/>
      <c r="H20" s="148"/>
      <c r="I20" s="148"/>
      <c r="J20" s="148"/>
      <c r="L20" s="134"/>
    </row>
    <row r="21">
      <c r="A21" s="86">
        <v>2023.0</v>
      </c>
      <c r="B21" s="86">
        <v>12.0</v>
      </c>
      <c r="C21" s="86">
        <v>22.0</v>
      </c>
      <c r="D21" s="82" t="s">
        <v>13</v>
      </c>
      <c r="E21" s="45"/>
      <c r="F21" s="153">
        <f>sum(23.99-3.6+4.38)</f>
        <v>24.77</v>
      </c>
      <c r="G21" s="148"/>
      <c r="H21" s="148"/>
      <c r="I21" s="148"/>
      <c r="J21" s="148"/>
      <c r="L21" s="134"/>
    </row>
    <row r="22">
      <c r="A22" s="86">
        <v>2023.0</v>
      </c>
      <c r="B22" s="86">
        <v>12.0</v>
      </c>
      <c r="C22" s="86">
        <v>22.0</v>
      </c>
      <c r="D22" s="82" t="s">
        <v>72</v>
      </c>
      <c r="E22" s="45"/>
      <c r="F22" s="153">
        <f>sum(30.79-4.62)</f>
        <v>26.17</v>
      </c>
      <c r="G22" s="148"/>
      <c r="H22" s="148"/>
      <c r="I22" s="148"/>
      <c r="J22" s="148"/>
      <c r="L22" s="134"/>
    </row>
    <row r="23">
      <c r="A23" s="86">
        <v>2023.0</v>
      </c>
      <c r="B23" s="86">
        <v>12.0</v>
      </c>
      <c r="C23" s="86">
        <v>18.0</v>
      </c>
      <c r="D23" s="82" t="s">
        <v>63</v>
      </c>
      <c r="E23" s="45"/>
      <c r="F23" s="153">
        <f>sum(48.76-7.32)</f>
        <v>41.44</v>
      </c>
      <c r="G23" s="148"/>
      <c r="H23" s="148"/>
      <c r="I23" s="148"/>
      <c r="J23" s="148"/>
      <c r="L23" s="134"/>
    </row>
    <row r="24">
      <c r="A24" s="86">
        <v>2023.0</v>
      </c>
      <c r="B24" s="86">
        <v>12.0</v>
      </c>
      <c r="C24" s="86">
        <v>15.0</v>
      </c>
      <c r="D24" s="82" t="s">
        <v>41</v>
      </c>
      <c r="E24" s="45"/>
      <c r="F24" s="153">
        <f>sum(5.25-0.78)</f>
        <v>4.47</v>
      </c>
      <c r="G24" s="148"/>
      <c r="H24" s="148"/>
      <c r="I24" s="148"/>
      <c r="J24" s="148"/>
      <c r="L24" s="134"/>
    </row>
    <row r="25">
      <c r="A25" s="86">
        <v>2023.0</v>
      </c>
      <c r="B25" s="86">
        <v>12.0</v>
      </c>
      <c r="C25" s="86">
        <v>15.0</v>
      </c>
      <c r="D25" s="82" t="s">
        <v>156</v>
      </c>
      <c r="E25" s="45"/>
      <c r="F25" s="153">
        <f>sum(10.76-1.62+0.66)</f>
        <v>9.8</v>
      </c>
      <c r="G25" s="148"/>
      <c r="H25" s="148"/>
      <c r="I25" s="148"/>
      <c r="J25" s="148"/>
      <c r="L25" s="134"/>
    </row>
    <row r="26">
      <c r="A26" s="86">
        <v>2023.0</v>
      </c>
      <c r="B26" s="86">
        <v>12.0</v>
      </c>
      <c r="C26" s="86">
        <v>5.0</v>
      </c>
      <c r="D26" s="82" t="s">
        <v>85</v>
      </c>
      <c r="E26" s="45"/>
      <c r="F26" s="153">
        <f>sum(22.65+0.71)</f>
        <v>23.36</v>
      </c>
      <c r="G26" s="148"/>
      <c r="H26" s="148"/>
      <c r="I26" s="148"/>
      <c r="J26" s="148"/>
      <c r="L26" s="134"/>
    </row>
    <row r="27">
      <c r="A27" s="86">
        <v>2023.0</v>
      </c>
      <c r="B27" s="86">
        <v>12.0</v>
      </c>
      <c r="C27" s="86">
        <v>4.0</v>
      </c>
      <c r="D27" s="82" t="s">
        <v>157</v>
      </c>
      <c r="E27" s="45"/>
      <c r="F27" s="154">
        <f>sum(1681)</f>
        <v>1681</v>
      </c>
      <c r="G27" s="148"/>
      <c r="H27" s="148"/>
      <c r="I27" s="148"/>
      <c r="J27" s="148"/>
      <c r="L27" s="134"/>
    </row>
    <row r="28">
      <c r="A28" s="155">
        <v>2023.0</v>
      </c>
      <c r="B28" s="155">
        <v>12.0</v>
      </c>
      <c r="C28" s="155">
        <v>4.0</v>
      </c>
      <c r="D28" s="156" t="s">
        <v>147</v>
      </c>
      <c r="E28" s="157"/>
      <c r="F28" s="158">
        <f>sum(5565,1575,0)</f>
        <v>7140</v>
      </c>
      <c r="G28" s="148"/>
      <c r="H28" s="148"/>
      <c r="I28" s="148"/>
      <c r="J28" s="148"/>
      <c r="L28" s="134"/>
    </row>
    <row r="29">
      <c r="A29" s="86">
        <v>2023.0</v>
      </c>
      <c r="B29" s="86">
        <v>12.0</v>
      </c>
      <c r="C29" s="86">
        <v>1.0</v>
      </c>
      <c r="D29" s="82" t="s">
        <v>158</v>
      </c>
      <c r="E29" s="45"/>
      <c r="F29" s="154">
        <f>sum(836,950)</f>
        <v>1786</v>
      </c>
      <c r="G29" s="148"/>
      <c r="H29" s="148"/>
      <c r="I29" s="148"/>
      <c r="J29" s="148"/>
      <c r="L29" s="134"/>
    </row>
    <row r="30">
      <c r="A30" s="86">
        <v>2023.0</v>
      </c>
      <c r="B30" s="86">
        <v>11.0</v>
      </c>
      <c r="C30" s="86">
        <v>27.0</v>
      </c>
      <c r="D30" s="82" t="s">
        <v>146</v>
      </c>
      <c r="E30" s="45"/>
      <c r="F30" s="153">
        <f>sum(5.13-0.77)</f>
        <v>4.36</v>
      </c>
      <c r="G30" s="148"/>
      <c r="H30" s="148"/>
      <c r="I30" s="148"/>
      <c r="J30" s="148"/>
      <c r="L30" s="134"/>
    </row>
    <row r="31">
      <c r="A31" s="86">
        <v>2023.0</v>
      </c>
      <c r="B31" s="86">
        <v>11.0</v>
      </c>
      <c r="C31" s="86">
        <v>23.0</v>
      </c>
      <c r="D31" s="82" t="s">
        <v>149</v>
      </c>
      <c r="E31" s="45"/>
      <c r="F31" s="153">
        <f>sum(4.24-0.64)</f>
        <v>3.6</v>
      </c>
      <c r="G31" s="148"/>
      <c r="H31" s="148"/>
      <c r="I31" s="148"/>
      <c r="J31" s="148"/>
      <c r="L31" s="134"/>
    </row>
    <row r="32">
      <c r="A32" s="86">
        <v>2023.0</v>
      </c>
      <c r="B32" s="86">
        <v>11.0</v>
      </c>
      <c r="C32" s="86">
        <v>23.0</v>
      </c>
      <c r="D32" s="82" t="s">
        <v>159</v>
      </c>
      <c r="E32" s="45"/>
      <c r="F32" s="154">
        <v>20000.0</v>
      </c>
      <c r="G32" s="148"/>
      <c r="H32" s="148"/>
      <c r="I32" s="148"/>
      <c r="J32" s="148"/>
      <c r="L32" s="134"/>
    </row>
    <row r="33">
      <c r="A33" s="86">
        <v>2023.0</v>
      </c>
      <c r="B33" s="86">
        <v>11.0</v>
      </c>
      <c r="C33" s="86">
        <v>20.0</v>
      </c>
      <c r="D33" s="154" t="s">
        <v>37</v>
      </c>
      <c r="E33" s="45"/>
      <c r="F33" s="154">
        <f>sum(40011,22382,7645)</f>
        <v>70038</v>
      </c>
      <c r="G33" s="148"/>
      <c r="H33" s="148"/>
      <c r="I33" s="148"/>
      <c r="J33" s="148"/>
      <c r="L33" s="134"/>
    </row>
    <row r="34">
      <c r="A34" s="86">
        <v>2023.0</v>
      </c>
      <c r="B34" s="86">
        <v>11.0</v>
      </c>
      <c r="C34" s="86">
        <v>20.0</v>
      </c>
      <c r="D34" s="154" t="s">
        <v>39</v>
      </c>
      <c r="E34" s="45"/>
      <c r="F34" s="154">
        <f>sum(10394)</f>
        <v>10394</v>
      </c>
      <c r="G34" s="148"/>
      <c r="H34" s="148"/>
      <c r="I34" s="148"/>
      <c r="J34" s="148"/>
      <c r="L34" s="134"/>
    </row>
    <row r="35">
      <c r="A35" s="86">
        <v>2023.0</v>
      </c>
      <c r="B35" s="86">
        <v>11.0</v>
      </c>
      <c r="C35" s="86">
        <v>18.0</v>
      </c>
      <c r="D35" s="82" t="s">
        <v>79</v>
      </c>
      <c r="E35" s="45"/>
      <c r="F35" s="153">
        <f>sum(0.05,3.87,0.84)</f>
        <v>4.76</v>
      </c>
      <c r="G35" s="148"/>
      <c r="H35" s="148"/>
      <c r="I35" s="148"/>
      <c r="J35" s="148"/>
      <c r="L35" s="134"/>
    </row>
    <row r="36">
      <c r="A36" s="86">
        <v>2023.0</v>
      </c>
      <c r="B36" s="86">
        <v>11.0</v>
      </c>
      <c r="C36" s="86">
        <v>16.0</v>
      </c>
      <c r="D36" s="82" t="s">
        <v>156</v>
      </c>
      <c r="E36" s="45"/>
      <c r="F36" s="153">
        <f>sum(0.66,9.14)</f>
        <v>9.8</v>
      </c>
      <c r="G36" s="148"/>
      <c r="H36" s="148"/>
      <c r="I36" s="148"/>
      <c r="J36" s="148"/>
      <c r="L36" s="134"/>
    </row>
    <row r="37">
      <c r="A37" s="86">
        <v>2023.0</v>
      </c>
      <c r="B37" s="86">
        <v>11.0</v>
      </c>
      <c r="C37" s="86">
        <v>14.0</v>
      </c>
      <c r="D37" s="154" t="s">
        <v>160</v>
      </c>
      <c r="E37" s="45"/>
      <c r="F37" s="153">
        <f>sum(0.03,1.3)</f>
        <v>1.33</v>
      </c>
      <c r="G37" s="148"/>
      <c r="H37" s="148"/>
      <c r="I37" s="148"/>
      <c r="J37" s="148"/>
      <c r="L37" s="134"/>
    </row>
    <row r="38">
      <c r="A38" s="86">
        <v>2023.0</v>
      </c>
      <c r="B38" s="86">
        <v>11.0</v>
      </c>
      <c r="C38" s="86">
        <v>8.0</v>
      </c>
      <c r="D38" s="82" t="s">
        <v>65</v>
      </c>
      <c r="E38" s="45"/>
      <c r="F38" s="154">
        <v>7650.0</v>
      </c>
      <c r="G38" s="148"/>
      <c r="H38" s="148"/>
      <c r="I38" s="148"/>
      <c r="J38" s="148"/>
      <c r="L38" s="134"/>
    </row>
    <row r="39">
      <c r="A39" s="86">
        <v>2023.0</v>
      </c>
      <c r="B39" s="86">
        <v>11.0</v>
      </c>
      <c r="C39" s="86">
        <v>2.0</v>
      </c>
      <c r="D39" s="154" t="s">
        <v>20</v>
      </c>
      <c r="E39" s="45"/>
      <c r="F39" s="154">
        <f>sum(0,900)</f>
        <v>900</v>
      </c>
      <c r="G39" s="148"/>
      <c r="H39" s="148"/>
      <c r="I39" s="148"/>
      <c r="J39" s="148"/>
      <c r="L39" s="134"/>
    </row>
    <row r="40">
      <c r="A40" s="86">
        <v>2023.0</v>
      </c>
      <c r="B40" s="86">
        <v>11.0</v>
      </c>
      <c r="C40" s="86">
        <v>2.0</v>
      </c>
      <c r="D40" s="154" t="s">
        <v>161</v>
      </c>
      <c r="E40" s="45"/>
      <c r="F40" s="154">
        <v>1320.0</v>
      </c>
      <c r="G40" s="148"/>
      <c r="H40" s="148"/>
      <c r="I40" s="148"/>
      <c r="J40" s="148"/>
      <c r="L40" s="134"/>
    </row>
    <row r="41">
      <c r="A41" s="86">
        <v>2023.0</v>
      </c>
      <c r="B41" s="86">
        <v>11.0</v>
      </c>
      <c r="C41" s="86">
        <v>2.0</v>
      </c>
      <c r="D41" s="154" t="s">
        <v>162</v>
      </c>
      <c r="E41" s="45"/>
      <c r="F41" s="154">
        <v>2800.0</v>
      </c>
      <c r="G41" s="148"/>
      <c r="H41" s="148"/>
      <c r="I41" s="148"/>
      <c r="J41" s="148"/>
      <c r="L41" s="134"/>
    </row>
    <row r="42">
      <c r="A42" s="86">
        <v>2023.0</v>
      </c>
      <c r="B42" s="86">
        <v>11.0</v>
      </c>
      <c r="C42" s="86">
        <v>2.0</v>
      </c>
      <c r="D42" s="154" t="s">
        <v>163</v>
      </c>
      <c r="E42" s="45"/>
      <c r="F42" s="154">
        <v>2400.0</v>
      </c>
      <c r="G42" s="148"/>
      <c r="H42" s="148"/>
      <c r="I42" s="148"/>
      <c r="J42" s="148"/>
      <c r="L42" s="134"/>
    </row>
    <row r="43">
      <c r="A43" s="86">
        <v>2023.0</v>
      </c>
      <c r="B43" s="86">
        <v>11.0</v>
      </c>
      <c r="C43" s="86">
        <v>2.0</v>
      </c>
      <c r="D43" s="82" t="s">
        <v>147</v>
      </c>
      <c r="E43" s="45"/>
      <c r="F43" s="154">
        <f>sum(3180,900)</f>
        <v>4080</v>
      </c>
      <c r="G43" s="148"/>
      <c r="H43" s="148"/>
      <c r="I43" s="148"/>
      <c r="J43" s="148"/>
      <c r="L43" s="134"/>
    </row>
    <row r="44">
      <c r="A44" s="86">
        <v>2023.0</v>
      </c>
      <c r="B44" s="86">
        <v>11.0</v>
      </c>
      <c r="C44" s="86">
        <v>2.0</v>
      </c>
      <c r="D44" s="154" t="s">
        <v>164</v>
      </c>
      <c r="E44" s="45"/>
      <c r="F44" s="154">
        <f>sum(7750,3875)</f>
        <v>11625</v>
      </c>
      <c r="G44" s="148"/>
      <c r="H44" s="148"/>
      <c r="I44" s="148"/>
      <c r="J44" s="148"/>
      <c r="L44" s="134"/>
    </row>
    <row r="45">
      <c r="A45" s="86">
        <v>2023.0</v>
      </c>
      <c r="B45" s="86">
        <v>11.0</v>
      </c>
      <c r="C45" s="86">
        <v>1.0</v>
      </c>
      <c r="D45" s="154" t="s">
        <v>165</v>
      </c>
      <c r="E45" s="45"/>
      <c r="F45" s="153">
        <v>5.39</v>
      </c>
      <c r="G45" s="148"/>
      <c r="H45" s="148"/>
      <c r="I45" s="148"/>
      <c r="J45" s="148"/>
      <c r="L45" s="134"/>
    </row>
    <row r="46">
      <c r="A46" s="86">
        <v>2023.0</v>
      </c>
      <c r="B46" s="86">
        <v>11.0</v>
      </c>
      <c r="C46" s="86">
        <v>1.0</v>
      </c>
      <c r="D46" s="154" t="s">
        <v>166</v>
      </c>
      <c r="E46" s="45"/>
      <c r="F46" s="153">
        <v>4.15</v>
      </c>
      <c r="G46" s="148"/>
      <c r="H46" s="148"/>
      <c r="I46" s="148"/>
      <c r="J46" s="148"/>
      <c r="L46" s="134"/>
    </row>
    <row r="47">
      <c r="A47" s="86">
        <v>2023.0</v>
      </c>
      <c r="B47" s="86">
        <v>11.0</v>
      </c>
      <c r="C47" s="86">
        <v>1.0</v>
      </c>
      <c r="D47" s="82" t="s">
        <v>158</v>
      </c>
      <c r="E47" s="45"/>
      <c r="F47" s="154">
        <f>sum(572,598)</f>
        <v>1170</v>
      </c>
      <c r="G47" s="148"/>
      <c r="H47" s="148"/>
      <c r="I47" s="148"/>
      <c r="J47" s="148"/>
      <c r="L47" s="134"/>
    </row>
    <row r="48">
      <c r="A48" s="86">
        <v>2023.0</v>
      </c>
      <c r="B48" s="159"/>
      <c r="C48" s="159"/>
      <c r="D48" s="82"/>
      <c r="E48" s="45"/>
      <c r="F48" s="153"/>
      <c r="G48" s="148"/>
      <c r="H48" s="148"/>
      <c r="I48" s="148"/>
      <c r="J48" s="148"/>
      <c r="L48" s="134"/>
    </row>
    <row r="49">
      <c r="A49" s="86">
        <v>2023.0</v>
      </c>
      <c r="B49" s="159"/>
      <c r="C49" s="159"/>
      <c r="D49" s="82"/>
      <c r="E49" s="45"/>
      <c r="F49" s="153"/>
      <c r="G49" s="148"/>
      <c r="H49" s="148"/>
      <c r="I49" s="148"/>
      <c r="J49" s="148"/>
      <c r="L49" s="134"/>
    </row>
    <row r="50">
      <c r="A50" s="86">
        <v>2023.0</v>
      </c>
      <c r="B50" s="86">
        <v>10.0</v>
      </c>
      <c r="C50" s="86">
        <v>13.0</v>
      </c>
      <c r="D50" s="82" t="s">
        <v>167</v>
      </c>
      <c r="E50" s="45"/>
      <c r="F50" s="153">
        <v>2.6</v>
      </c>
      <c r="G50" s="148"/>
      <c r="H50" s="148"/>
      <c r="I50" s="148"/>
      <c r="J50" s="148"/>
      <c r="L50" s="134"/>
    </row>
    <row r="51">
      <c r="A51" s="86">
        <v>2023.0</v>
      </c>
      <c r="B51" s="86">
        <v>10.0</v>
      </c>
      <c r="C51" s="86">
        <v>14.0</v>
      </c>
      <c r="D51" s="82" t="s">
        <v>168</v>
      </c>
      <c r="E51" s="45"/>
      <c r="F51" s="153">
        <v>1.84</v>
      </c>
      <c r="G51" s="148"/>
      <c r="H51" s="148"/>
      <c r="I51" s="148"/>
      <c r="J51" s="148"/>
      <c r="L51" s="134"/>
    </row>
    <row r="52">
      <c r="A52" s="86">
        <v>2023.0</v>
      </c>
      <c r="B52" s="86">
        <v>10.0</v>
      </c>
      <c r="C52" s="86">
        <v>14.0</v>
      </c>
      <c r="D52" s="82" t="s">
        <v>156</v>
      </c>
      <c r="E52" s="45"/>
      <c r="F52" s="153">
        <f>sum(0.66,9.14)</f>
        <v>9.8</v>
      </c>
      <c r="G52" s="148"/>
      <c r="H52" s="148"/>
      <c r="I52" s="148"/>
      <c r="J52" s="148"/>
      <c r="L52" s="134"/>
    </row>
    <row r="53">
      <c r="A53" s="86">
        <v>2023.0</v>
      </c>
      <c r="B53" s="86">
        <v>10.0</v>
      </c>
      <c r="C53" s="86">
        <v>14.0</v>
      </c>
      <c r="D53" s="82" t="s">
        <v>169</v>
      </c>
      <c r="E53" s="45"/>
      <c r="F53" s="153">
        <f>sum(0.2,7.56)</f>
        <v>7.76</v>
      </c>
      <c r="G53" s="148"/>
      <c r="H53" s="148"/>
      <c r="I53" s="148"/>
      <c r="J53" s="148"/>
      <c r="L53" s="134"/>
    </row>
    <row r="54">
      <c r="A54" s="86">
        <v>2023.0</v>
      </c>
      <c r="B54" s="86">
        <v>10.0</v>
      </c>
      <c r="C54" s="86">
        <v>5.0</v>
      </c>
      <c r="D54" s="82" t="s">
        <v>147</v>
      </c>
      <c r="E54" s="45"/>
      <c r="F54" s="154">
        <f>sum(7155)</f>
        <v>7155</v>
      </c>
      <c r="G54" s="148"/>
      <c r="H54" s="148"/>
      <c r="I54" s="148"/>
      <c r="J54" s="148"/>
      <c r="L54" s="134"/>
    </row>
    <row r="55">
      <c r="A55" s="86">
        <v>2023.0</v>
      </c>
      <c r="B55" s="86">
        <v>10.0</v>
      </c>
      <c r="C55" s="86">
        <v>5.0</v>
      </c>
      <c r="D55" s="82" t="s">
        <v>154</v>
      </c>
      <c r="E55" s="45"/>
      <c r="F55" s="153">
        <v>5.07</v>
      </c>
      <c r="G55" s="148"/>
      <c r="H55" s="148"/>
      <c r="I55" s="148"/>
      <c r="J55" s="148"/>
      <c r="L55" s="134"/>
    </row>
    <row r="56">
      <c r="A56" s="86">
        <v>2023.0</v>
      </c>
      <c r="B56" s="86">
        <v>10.0</v>
      </c>
      <c r="C56" s="86">
        <v>4.0</v>
      </c>
      <c r="D56" s="82" t="s">
        <v>158</v>
      </c>
      <c r="E56" s="45"/>
      <c r="F56" s="154">
        <f>sum(297,621,0)</f>
        <v>918</v>
      </c>
      <c r="G56" s="148"/>
      <c r="H56" s="148"/>
      <c r="I56" s="148"/>
      <c r="J56" s="148"/>
      <c r="L56" s="134"/>
    </row>
    <row r="57">
      <c r="A57" s="86">
        <v>2023.0</v>
      </c>
      <c r="B57" s="86">
        <v>10.0</v>
      </c>
      <c r="C57" s="86">
        <v>4.0</v>
      </c>
      <c r="D57" s="82" t="s">
        <v>170</v>
      </c>
      <c r="E57" s="45"/>
      <c r="F57" s="153">
        <f>sum(0.2,0.24)</f>
        <v>0.44</v>
      </c>
      <c r="G57" s="148"/>
      <c r="H57" s="148"/>
      <c r="I57" s="148"/>
      <c r="J57" s="148"/>
      <c r="L57" s="134"/>
    </row>
    <row r="58">
      <c r="A58" s="86">
        <v>2023.0</v>
      </c>
      <c r="B58" s="86">
        <v>10.0</v>
      </c>
      <c r="C58" s="86">
        <v>5.0</v>
      </c>
      <c r="D58" s="82" t="s">
        <v>171</v>
      </c>
      <c r="E58" s="45"/>
      <c r="F58" s="153">
        <v>1.41</v>
      </c>
      <c r="G58" s="148"/>
      <c r="H58" s="148"/>
      <c r="I58" s="148"/>
      <c r="J58" s="148"/>
      <c r="L58" s="134"/>
    </row>
    <row r="59">
      <c r="A59" s="86">
        <v>2023.0</v>
      </c>
      <c r="B59" s="86">
        <v>10.0</v>
      </c>
      <c r="C59" s="86">
        <v>5.0</v>
      </c>
      <c r="D59" s="82" t="s">
        <v>172</v>
      </c>
      <c r="E59" s="45"/>
      <c r="F59" s="153">
        <v>1.27</v>
      </c>
      <c r="G59" s="148"/>
      <c r="H59" s="148"/>
      <c r="I59" s="148"/>
      <c r="J59" s="148"/>
      <c r="L59" s="134"/>
    </row>
    <row r="60">
      <c r="A60" s="86">
        <v>2023.0</v>
      </c>
      <c r="B60" s="86">
        <v>10.0</v>
      </c>
      <c r="C60" s="86">
        <v>5.0</v>
      </c>
      <c r="D60" s="82" t="s">
        <v>173</v>
      </c>
      <c r="E60" s="45"/>
      <c r="F60" s="153">
        <v>0.58</v>
      </c>
      <c r="G60" s="148"/>
      <c r="H60" s="148"/>
      <c r="I60" s="148"/>
      <c r="J60" s="148"/>
      <c r="L60" s="134"/>
    </row>
    <row r="61">
      <c r="A61" s="86">
        <v>2023.0</v>
      </c>
      <c r="B61" s="86">
        <v>10.0</v>
      </c>
      <c r="C61" s="86">
        <v>5.0</v>
      </c>
      <c r="D61" s="82" t="s">
        <v>63</v>
      </c>
      <c r="E61" s="45"/>
      <c r="F61" s="153">
        <f>sum(40.27,0.01)</f>
        <v>40.28</v>
      </c>
      <c r="G61" s="148"/>
      <c r="H61" s="148"/>
      <c r="I61" s="148"/>
      <c r="J61" s="148"/>
      <c r="L61" s="134"/>
    </row>
    <row r="62">
      <c r="A62" s="86">
        <v>2023.0</v>
      </c>
      <c r="B62" s="86">
        <v>10.0</v>
      </c>
      <c r="C62" s="86">
        <v>5.0</v>
      </c>
      <c r="D62" s="82" t="s">
        <v>174</v>
      </c>
      <c r="E62" s="45"/>
      <c r="F62" s="153">
        <v>1.62</v>
      </c>
      <c r="G62" s="148"/>
      <c r="H62" s="148"/>
      <c r="I62" s="148"/>
      <c r="J62" s="148"/>
      <c r="L62" s="134"/>
    </row>
    <row r="63">
      <c r="A63" s="86">
        <v>2023.0</v>
      </c>
      <c r="B63" s="86">
        <v>9.0</v>
      </c>
      <c r="C63" s="86">
        <v>22.0</v>
      </c>
      <c r="D63" s="154" t="s">
        <v>72</v>
      </c>
      <c r="E63" s="45"/>
      <c r="F63" s="153">
        <v>18.67</v>
      </c>
      <c r="G63" s="148"/>
      <c r="H63" s="148"/>
      <c r="I63" s="148"/>
      <c r="J63" s="148"/>
      <c r="L63" s="134"/>
    </row>
    <row r="64">
      <c r="A64" s="86">
        <v>2023.0</v>
      </c>
      <c r="B64" s="86">
        <v>9.0</v>
      </c>
      <c r="C64" s="86">
        <v>16.0</v>
      </c>
      <c r="D64" s="82" t="s">
        <v>175</v>
      </c>
      <c r="E64" s="45"/>
      <c r="F64" s="153">
        <f>sum(6.52, 0.65)</f>
        <v>7.17</v>
      </c>
      <c r="G64" s="148"/>
      <c r="H64" s="148"/>
      <c r="I64" s="148"/>
      <c r="J64" s="148"/>
      <c r="L64" s="134"/>
    </row>
    <row r="65">
      <c r="A65" s="86">
        <v>2023.0</v>
      </c>
      <c r="B65" s="86">
        <v>9.0</v>
      </c>
      <c r="C65" s="86">
        <v>16.0</v>
      </c>
      <c r="D65" s="154" t="s">
        <v>41</v>
      </c>
      <c r="E65" s="45"/>
      <c r="F65" s="153">
        <v>3.46</v>
      </c>
      <c r="G65" s="148"/>
      <c r="H65" s="148"/>
      <c r="I65" s="148"/>
      <c r="J65" s="148"/>
      <c r="L65" s="134"/>
    </row>
    <row r="66">
      <c r="A66" s="86">
        <v>2023.0</v>
      </c>
      <c r="B66" s="86">
        <v>9.0</v>
      </c>
      <c r="C66" s="86">
        <v>7.0</v>
      </c>
      <c r="D66" s="154" t="s">
        <v>176</v>
      </c>
      <c r="E66" s="45"/>
      <c r="F66" s="153">
        <f>sum(19.86,0.36,0.35)</f>
        <v>20.57</v>
      </c>
      <c r="G66" s="148"/>
      <c r="H66" s="148"/>
      <c r="I66" s="148"/>
      <c r="J66" s="148"/>
      <c r="L66" s="134"/>
    </row>
    <row r="67">
      <c r="A67" s="86">
        <v>2023.0</v>
      </c>
      <c r="B67" s="86">
        <v>9.0</v>
      </c>
      <c r="C67" s="86">
        <v>4.0</v>
      </c>
      <c r="D67" s="82" t="s">
        <v>147</v>
      </c>
      <c r="E67" s="45"/>
      <c r="F67" s="154">
        <f>sum(900,680,3180)</f>
        <v>4760</v>
      </c>
      <c r="G67" s="148"/>
      <c r="H67" s="148"/>
      <c r="I67" s="148"/>
      <c r="J67" s="148"/>
      <c r="L67" s="134"/>
    </row>
    <row r="68">
      <c r="A68" s="86">
        <v>2023.0</v>
      </c>
      <c r="B68" s="86">
        <v>9.0</v>
      </c>
      <c r="C68" s="86">
        <v>1.0</v>
      </c>
      <c r="D68" s="82" t="s">
        <v>158</v>
      </c>
      <c r="E68" s="45"/>
      <c r="F68" s="82">
        <v>704.0</v>
      </c>
      <c r="G68" s="148"/>
      <c r="H68" s="148"/>
      <c r="I68" s="148"/>
      <c r="J68" s="148"/>
      <c r="L68" s="134"/>
    </row>
    <row r="69">
      <c r="A69" s="86">
        <v>2023.0</v>
      </c>
      <c r="B69" s="86">
        <v>8.0</v>
      </c>
      <c r="C69" s="86">
        <v>31.0</v>
      </c>
      <c r="D69" s="82" t="s">
        <v>177</v>
      </c>
      <c r="E69" s="45"/>
      <c r="F69" s="154">
        <v>7500.0</v>
      </c>
      <c r="G69" s="148"/>
      <c r="H69" s="148"/>
      <c r="I69" s="148"/>
      <c r="J69" s="148"/>
      <c r="L69" s="134"/>
    </row>
    <row r="70">
      <c r="A70" s="86">
        <v>2023.0</v>
      </c>
      <c r="B70" s="86">
        <v>8.0</v>
      </c>
      <c r="C70" s="86">
        <v>28.0</v>
      </c>
      <c r="D70" s="82" t="s">
        <v>159</v>
      </c>
      <c r="E70" s="45"/>
      <c r="F70" s="154">
        <v>17500.0</v>
      </c>
      <c r="G70" s="148"/>
      <c r="H70" s="148"/>
      <c r="I70" s="148"/>
      <c r="J70" s="148"/>
      <c r="L70" s="134"/>
    </row>
    <row r="71">
      <c r="A71" s="86">
        <v>2023.0</v>
      </c>
      <c r="B71" s="86">
        <v>8.0</v>
      </c>
      <c r="C71" s="86">
        <v>28.0</v>
      </c>
      <c r="D71" s="82" t="s">
        <v>178</v>
      </c>
      <c r="E71" s="45"/>
      <c r="F71" s="153">
        <v>3.6</v>
      </c>
      <c r="G71" s="148"/>
      <c r="H71" s="148"/>
      <c r="I71" s="148"/>
      <c r="J71" s="148"/>
      <c r="L71" s="134"/>
    </row>
    <row r="72">
      <c r="A72" s="86">
        <v>2023.0</v>
      </c>
      <c r="B72" s="86">
        <v>8.0</v>
      </c>
      <c r="C72" s="86">
        <v>28.0</v>
      </c>
      <c r="D72" s="82" t="s">
        <v>146</v>
      </c>
      <c r="E72" s="45"/>
      <c r="F72" s="153">
        <f>sum(4.77-0.72)</f>
        <v>4.05</v>
      </c>
      <c r="G72" s="148"/>
      <c r="H72" s="148"/>
      <c r="I72" s="148"/>
      <c r="J72" s="148"/>
      <c r="L72" s="134"/>
    </row>
    <row r="73">
      <c r="A73" s="86">
        <v>2023.0</v>
      </c>
      <c r="B73" s="86">
        <v>8.0</v>
      </c>
      <c r="C73" s="86">
        <v>19.0</v>
      </c>
      <c r="D73" s="82" t="s">
        <v>179</v>
      </c>
      <c r="E73" s="45"/>
      <c r="F73" s="153">
        <f>sum(3.26,0.04,0.84)</f>
        <v>4.14</v>
      </c>
      <c r="G73" s="148"/>
      <c r="H73" s="148"/>
      <c r="I73" s="148"/>
      <c r="J73" s="148"/>
      <c r="L73" s="134"/>
    </row>
    <row r="74">
      <c r="A74" s="86">
        <v>2023.0</v>
      </c>
      <c r="B74" s="86">
        <v>8.0</v>
      </c>
      <c r="C74" s="86">
        <v>16.0</v>
      </c>
      <c r="D74" s="82" t="s">
        <v>156</v>
      </c>
      <c r="E74" s="45"/>
      <c r="F74" s="153">
        <v>6.52</v>
      </c>
      <c r="G74" s="148"/>
      <c r="H74" s="148"/>
      <c r="I74" s="148"/>
      <c r="J74" s="148"/>
      <c r="L74" s="134"/>
    </row>
    <row r="75">
      <c r="A75" s="86">
        <v>2023.0</v>
      </c>
      <c r="B75" s="86">
        <v>8.0</v>
      </c>
      <c r="C75" s="86">
        <v>16.0</v>
      </c>
      <c r="D75" s="154" t="s">
        <v>37</v>
      </c>
      <c r="E75" s="45"/>
      <c r="F75" s="154">
        <f>sum(40011,22382,7645)</f>
        <v>70038</v>
      </c>
      <c r="G75" s="148"/>
      <c r="H75" s="148"/>
      <c r="I75" s="148"/>
      <c r="J75" s="148"/>
      <c r="L75" s="134"/>
    </row>
    <row r="76">
      <c r="A76" s="86">
        <v>2023.0</v>
      </c>
      <c r="B76" s="86">
        <v>8.0</v>
      </c>
      <c r="C76" s="86">
        <v>16.0</v>
      </c>
      <c r="D76" s="154" t="s">
        <v>39</v>
      </c>
      <c r="E76" s="45"/>
      <c r="F76" s="154">
        <f>sum(10394)</f>
        <v>10394</v>
      </c>
      <c r="G76" s="148"/>
      <c r="H76" s="148"/>
      <c r="I76" s="148"/>
      <c r="J76" s="148"/>
      <c r="L76" s="134"/>
    </row>
    <row r="77">
      <c r="A77" s="86">
        <v>2023.0</v>
      </c>
      <c r="B77" s="86">
        <v>8.0</v>
      </c>
      <c r="C77" s="86">
        <v>12.0</v>
      </c>
      <c r="D77" s="154" t="s">
        <v>160</v>
      </c>
      <c r="E77" s="45"/>
      <c r="F77" s="153">
        <v>1.36</v>
      </c>
      <c r="G77" s="148"/>
      <c r="H77" s="148"/>
      <c r="I77" s="148"/>
      <c r="J77" s="148"/>
      <c r="L77" s="134"/>
    </row>
    <row r="78">
      <c r="A78" s="86">
        <v>2023.0</v>
      </c>
      <c r="B78" s="86">
        <v>8.0</v>
      </c>
      <c r="C78" s="86">
        <v>12.0</v>
      </c>
      <c r="D78" s="154" t="s">
        <v>180</v>
      </c>
      <c r="E78" s="45"/>
      <c r="F78" s="153">
        <v>0.03</v>
      </c>
      <c r="G78" s="148"/>
      <c r="H78" s="148"/>
      <c r="I78" s="148"/>
      <c r="J78" s="148"/>
      <c r="L78" s="134"/>
    </row>
    <row r="79">
      <c r="A79" s="86">
        <v>2023.0</v>
      </c>
      <c r="B79" s="86">
        <v>8.0</v>
      </c>
      <c r="C79" s="86">
        <v>8.0</v>
      </c>
      <c r="D79" s="82" t="s">
        <v>65</v>
      </c>
      <c r="E79" s="45"/>
      <c r="F79" s="154">
        <v>5100.0</v>
      </c>
      <c r="G79" s="148"/>
      <c r="H79" s="148"/>
      <c r="I79" s="148"/>
      <c r="J79" s="148"/>
      <c r="L79" s="134"/>
    </row>
    <row r="80">
      <c r="A80" s="86">
        <v>2023.0</v>
      </c>
      <c r="B80" s="86">
        <v>8.0</v>
      </c>
      <c r="C80" s="86">
        <v>2.0</v>
      </c>
      <c r="D80" s="154" t="s">
        <v>181</v>
      </c>
      <c r="E80" s="45"/>
      <c r="F80" s="154">
        <v>160.0</v>
      </c>
      <c r="G80" s="148"/>
      <c r="H80" s="148"/>
      <c r="I80" s="148"/>
      <c r="J80" s="148"/>
      <c r="L80" s="134"/>
    </row>
    <row r="81">
      <c r="A81" s="86">
        <v>2023.0</v>
      </c>
      <c r="B81" s="86">
        <v>8.0</v>
      </c>
      <c r="C81" s="86">
        <v>2.0</v>
      </c>
      <c r="D81" s="82" t="s">
        <v>158</v>
      </c>
      <c r="E81" s="45"/>
      <c r="F81" s="154">
        <v>572.0</v>
      </c>
      <c r="G81" s="148"/>
      <c r="H81" s="148"/>
      <c r="I81" s="148"/>
      <c r="J81" s="148"/>
      <c r="L81" s="134"/>
    </row>
    <row r="82">
      <c r="A82" s="86">
        <v>2023.0</v>
      </c>
      <c r="B82" s="86">
        <v>8.0</v>
      </c>
      <c r="C82" s="86">
        <v>2.0</v>
      </c>
      <c r="D82" s="154" t="s">
        <v>161</v>
      </c>
      <c r="E82" s="45"/>
      <c r="F82" s="154">
        <f>SUM(550,0)</f>
        <v>550</v>
      </c>
      <c r="G82" s="148"/>
      <c r="H82" s="148"/>
      <c r="I82" s="148"/>
      <c r="J82" s="148"/>
      <c r="L82" s="134"/>
    </row>
    <row r="83">
      <c r="A83" s="86">
        <v>2023.0</v>
      </c>
      <c r="B83" s="86">
        <v>8.0</v>
      </c>
      <c r="C83" s="86">
        <v>2.0</v>
      </c>
      <c r="D83" s="154" t="s">
        <v>162</v>
      </c>
      <c r="E83" s="45"/>
      <c r="F83" s="154">
        <f>sum(120,2800)</f>
        <v>2920</v>
      </c>
      <c r="G83" s="148"/>
      <c r="H83" s="148"/>
      <c r="I83" s="148"/>
      <c r="J83" s="148"/>
      <c r="L83" s="134"/>
    </row>
    <row r="84">
      <c r="A84" s="86">
        <v>2023.0</v>
      </c>
      <c r="B84" s="86">
        <v>8.0</v>
      </c>
      <c r="C84" s="86">
        <v>2.0</v>
      </c>
      <c r="D84" s="154" t="s">
        <v>163</v>
      </c>
      <c r="E84" s="45"/>
      <c r="F84" s="154">
        <f>SUM(550,2640)</f>
        <v>3190</v>
      </c>
      <c r="G84" s="148"/>
      <c r="H84" s="148"/>
      <c r="I84" s="148"/>
      <c r="J84" s="148"/>
      <c r="L84" s="134"/>
    </row>
    <row r="85">
      <c r="A85" s="86">
        <v>2023.0</v>
      </c>
      <c r="B85" s="86">
        <v>8.0</v>
      </c>
      <c r="C85" s="86">
        <v>2.0</v>
      </c>
      <c r="D85" s="154" t="s">
        <v>182</v>
      </c>
      <c r="E85" s="45"/>
      <c r="F85" s="154">
        <f>sum(1080,3720)</f>
        <v>4800</v>
      </c>
      <c r="G85" s="148"/>
      <c r="H85" s="148"/>
      <c r="I85" s="148"/>
      <c r="J85" s="148"/>
      <c r="L85" s="134"/>
    </row>
    <row r="86">
      <c r="A86" s="86">
        <v>2023.0</v>
      </c>
      <c r="B86" s="86">
        <v>8.0</v>
      </c>
      <c r="C86" s="86">
        <v>2.0</v>
      </c>
      <c r="D86" s="154" t="s">
        <v>164</v>
      </c>
      <c r="E86" s="45"/>
      <c r="F86" s="154">
        <f>sum(7440,3720)</f>
        <v>11160</v>
      </c>
      <c r="G86" s="148"/>
      <c r="H86" s="148"/>
      <c r="I86" s="148"/>
      <c r="J86" s="148"/>
      <c r="L86" s="134"/>
    </row>
    <row r="87">
      <c r="A87" s="86">
        <v>2023.0</v>
      </c>
      <c r="B87" s="86">
        <v>8.0</v>
      </c>
      <c r="C87" s="86">
        <v>2.0</v>
      </c>
      <c r="D87" s="154" t="s">
        <v>20</v>
      </c>
      <c r="E87" s="45"/>
      <c r="F87" s="154">
        <f>sum(300,0)</f>
        <v>300</v>
      </c>
      <c r="G87" s="148"/>
      <c r="H87" s="148"/>
      <c r="I87" s="148"/>
      <c r="J87" s="148"/>
      <c r="L87" s="134"/>
    </row>
    <row r="88">
      <c r="A88" s="86">
        <v>2023.0</v>
      </c>
      <c r="B88" s="86">
        <v>8.0</v>
      </c>
      <c r="C88" s="86">
        <v>1.0</v>
      </c>
      <c r="D88" s="154" t="s">
        <v>165</v>
      </c>
      <c r="E88" s="45"/>
      <c r="F88" s="153">
        <f>sum(6.56-0.99)</f>
        <v>5.57</v>
      </c>
      <c r="G88" s="148"/>
      <c r="H88" s="148"/>
      <c r="I88" s="148"/>
      <c r="J88" s="148"/>
      <c r="L88" s="134"/>
    </row>
    <row r="89">
      <c r="A89" s="86">
        <v>2023.0</v>
      </c>
      <c r="B89" s="86">
        <v>8.0</v>
      </c>
      <c r="C89" s="86">
        <v>1.0</v>
      </c>
      <c r="D89" s="154" t="s">
        <v>166</v>
      </c>
      <c r="E89" s="45"/>
      <c r="F89" s="153">
        <v>4.17</v>
      </c>
      <c r="G89" s="148"/>
      <c r="H89" s="148"/>
      <c r="I89" s="148"/>
      <c r="J89" s="148"/>
      <c r="L89" s="134"/>
    </row>
    <row r="90">
      <c r="A90" s="86">
        <v>2023.0</v>
      </c>
      <c r="B90" s="86">
        <v>7.0</v>
      </c>
      <c r="C90" s="86">
        <v>17.0</v>
      </c>
      <c r="D90" s="82" t="s">
        <v>168</v>
      </c>
      <c r="E90" s="45"/>
      <c r="F90" s="153">
        <v>1.39</v>
      </c>
      <c r="G90" s="148"/>
      <c r="H90" s="148"/>
      <c r="I90" s="148"/>
      <c r="J90" s="148"/>
      <c r="L90" s="134"/>
    </row>
    <row r="91">
      <c r="A91" s="86">
        <v>2023.0</v>
      </c>
      <c r="B91" s="86">
        <v>7.0</v>
      </c>
      <c r="C91" s="86">
        <v>17.0</v>
      </c>
      <c r="D91" s="82" t="s">
        <v>156</v>
      </c>
      <c r="E91" s="45"/>
      <c r="F91" s="153">
        <v>5.43</v>
      </c>
      <c r="G91" s="148"/>
      <c r="H91" s="148"/>
      <c r="I91" s="148"/>
      <c r="J91" s="148"/>
      <c r="L91" s="134"/>
    </row>
    <row r="92">
      <c r="A92" s="86">
        <v>2023.0</v>
      </c>
      <c r="B92" s="86">
        <v>7.0</v>
      </c>
      <c r="C92" s="86">
        <v>13.0</v>
      </c>
      <c r="D92" s="82" t="s">
        <v>167</v>
      </c>
      <c r="E92" s="45"/>
      <c r="F92" s="153">
        <v>2.53</v>
      </c>
      <c r="G92" s="148"/>
      <c r="H92" s="148"/>
      <c r="I92" s="148"/>
      <c r="J92" s="148"/>
      <c r="L92" s="134"/>
    </row>
    <row r="93">
      <c r="A93" s="86">
        <v>2023.0</v>
      </c>
      <c r="B93" s="86">
        <v>7.0</v>
      </c>
      <c r="C93" s="86">
        <v>13.0</v>
      </c>
      <c r="D93" s="82" t="s">
        <v>183</v>
      </c>
      <c r="E93" s="45"/>
      <c r="F93" s="153">
        <f>sum(6.16,0.17)</f>
        <v>6.33</v>
      </c>
      <c r="G93" s="148"/>
      <c r="H93" s="148"/>
      <c r="I93" s="148"/>
      <c r="J93" s="148"/>
      <c r="L93" s="134"/>
    </row>
    <row r="94">
      <c r="A94" s="86">
        <v>2023.0</v>
      </c>
      <c r="B94" s="86">
        <v>7.0</v>
      </c>
      <c r="C94" s="86">
        <v>6.0</v>
      </c>
      <c r="D94" s="154" t="s">
        <v>184</v>
      </c>
      <c r="E94" s="45"/>
      <c r="F94" s="153">
        <v>0.58</v>
      </c>
      <c r="G94" s="148"/>
      <c r="H94" s="148"/>
      <c r="I94" s="148"/>
      <c r="J94" s="148"/>
      <c r="L94" s="134"/>
    </row>
    <row r="95">
      <c r="A95" s="86">
        <v>2023.0</v>
      </c>
      <c r="B95" s="86">
        <v>7.0</v>
      </c>
      <c r="C95" s="86">
        <v>6.0</v>
      </c>
      <c r="D95" s="154" t="s">
        <v>172</v>
      </c>
      <c r="E95" s="45"/>
      <c r="F95" s="153">
        <v>1.34</v>
      </c>
      <c r="G95" s="148"/>
      <c r="H95" s="148"/>
      <c r="I95" s="148"/>
      <c r="J95" s="148"/>
      <c r="L95" s="134"/>
    </row>
    <row r="96">
      <c r="A96" s="86">
        <v>2023.0</v>
      </c>
      <c r="B96" s="86">
        <v>7.0</v>
      </c>
      <c r="C96" s="86">
        <v>3.0</v>
      </c>
      <c r="D96" s="154" t="s">
        <v>185</v>
      </c>
      <c r="E96" s="45"/>
      <c r="F96" s="153">
        <v>0.19</v>
      </c>
      <c r="G96" s="148"/>
      <c r="H96" s="148"/>
      <c r="I96" s="148"/>
      <c r="J96" s="148"/>
      <c r="L96" s="134"/>
    </row>
    <row r="97">
      <c r="A97" s="86">
        <v>2023.0</v>
      </c>
      <c r="B97" s="86">
        <v>7.0</v>
      </c>
      <c r="C97" s="86">
        <v>2.0</v>
      </c>
      <c r="D97" s="154" t="s">
        <v>158</v>
      </c>
      <c r="E97" s="45"/>
      <c r="F97" s="154">
        <v>704.0</v>
      </c>
      <c r="G97" s="148"/>
      <c r="H97" s="148"/>
      <c r="I97" s="148"/>
      <c r="J97" s="148"/>
      <c r="L97" s="134"/>
    </row>
    <row r="98">
      <c r="A98" s="86">
        <v>2023.0</v>
      </c>
      <c r="B98" s="86">
        <v>7.0</v>
      </c>
      <c r="C98" s="86">
        <v>4.0</v>
      </c>
      <c r="D98" s="154" t="s">
        <v>186</v>
      </c>
      <c r="E98" s="45"/>
      <c r="F98" s="153">
        <f>sum(45.08-6.77)</f>
        <v>38.31</v>
      </c>
      <c r="G98" s="148"/>
      <c r="H98" s="148"/>
      <c r="I98" s="148"/>
      <c r="J98" s="148"/>
      <c r="L98" s="134"/>
    </row>
    <row r="99">
      <c r="A99" s="86">
        <v>2023.0</v>
      </c>
      <c r="B99" s="86">
        <v>7.0</v>
      </c>
      <c r="C99" s="86">
        <v>4.0</v>
      </c>
      <c r="D99" s="154" t="s">
        <v>182</v>
      </c>
      <c r="E99" s="45"/>
      <c r="F99" s="154">
        <f>sum(2475,8745)</f>
        <v>11220</v>
      </c>
      <c r="G99" s="148"/>
      <c r="H99" s="148"/>
      <c r="I99" s="148"/>
      <c r="J99" s="148"/>
      <c r="L99" s="134"/>
    </row>
    <row r="100">
      <c r="A100" s="86">
        <v>2023.0</v>
      </c>
      <c r="B100" s="86">
        <v>7.0</v>
      </c>
      <c r="C100" s="86">
        <v>3.0</v>
      </c>
      <c r="D100" s="82" t="s">
        <v>187</v>
      </c>
      <c r="E100" s="45"/>
      <c r="F100" s="153">
        <f>sum(1.85+1.01-0.16-0.27)</f>
        <v>2.43</v>
      </c>
      <c r="G100" s="148"/>
      <c r="H100" s="148"/>
      <c r="I100" s="148"/>
      <c r="J100" s="148"/>
      <c r="L100" s="134"/>
    </row>
    <row r="101">
      <c r="A101" s="86">
        <v>2023.0</v>
      </c>
      <c r="B101" s="86">
        <v>6.0</v>
      </c>
      <c r="C101" s="86">
        <v>27.0</v>
      </c>
      <c r="D101" s="154" t="s">
        <v>72</v>
      </c>
      <c r="E101" s="45"/>
      <c r="F101" s="153">
        <v>20.86</v>
      </c>
      <c r="G101" s="148"/>
      <c r="H101" s="148"/>
      <c r="I101" s="148"/>
      <c r="J101" s="148"/>
      <c r="L101" s="134"/>
    </row>
    <row r="102">
      <c r="A102" s="86">
        <v>2023.0</v>
      </c>
      <c r="B102" s="86">
        <v>6.0</v>
      </c>
      <c r="C102" s="86">
        <v>17.0</v>
      </c>
      <c r="D102" s="82" t="s">
        <v>156</v>
      </c>
      <c r="E102" s="45"/>
      <c r="F102" s="153">
        <v>4.33</v>
      </c>
      <c r="G102" s="148"/>
      <c r="H102" s="148"/>
      <c r="I102" s="148"/>
      <c r="J102" s="148"/>
      <c r="L102" s="134"/>
    </row>
    <row r="103">
      <c r="A103" s="86">
        <v>2023.0</v>
      </c>
      <c r="B103" s="86">
        <v>6.0</v>
      </c>
      <c r="C103" s="86">
        <v>15.0</v>
      </c>
      <c r="D103" s="154" t="s">
        <v>188</v>
      </c>
      <c r="E103" s="45"/>
      <c r="F103" s="153">
        <v>3.42</v>
      </c>
      <c r="G103" s="148"/>
      <c r="H103" s="148"/>
      <c r="I103" s="148"/>
      <c r="J103" s="148"/>
      <c r="L103" s="134"/>
    </row>
    <row r="104">
      <c r="A104" s="86">
        <v>2023.0</v>
      </c>
      <c r="B104" s="86">
        <v>6.0</v>
      </c>
      <c r="C104" s="86">
        <v>13.0</v>
      </c>
      <c r="D104" s="154" t="s">
        <v>189</v>
      </c>
      <c r="E104" s="45"/>
      <c r="F104" s="153">
        <v>1.0</v>
      </c>
      <c r="G104" s="148"/>
      <c r="H104" s="148"/>
      <c r="I104" s="148"/>
      <c r="J104" s="148"/>
      <c r="L104" s="134"/>
    </row>
    <row r="105">
      <c r="A105" s="86">
        <v>2023.0</v>
      </c>
      <c r="B105" s="86">
        <v>6.0</v>
      </c>
      <c r="C105" s="86">
        <v>13.0</v>
      </c>
      <c r="D105" s="154" t="s">
        <v>171</v>
      </c>
      <c r="E105" s="45"/>
      <c r="F105" s="153">
        <v>0.56</v>
      </c>
      <c r="G105" s="148"/>
      <c r="H105" s="148"/>
      <c r="I105" s="148"/>
      <c r="J105" s="148"/>
      <c r="L105" s="134"/>
    </row>
    <row r="106">
      <c r="A106" s="86">
        <v>2023.0</v>
      </c>
      <c r="B106" s="86">
        <v>6.0</v>
      </c>
      <c r="C106" s="86">
        <v>12.0</v>
      </c>
      <c r="D106" s="154" t="s">
        <v>176</v>
      </c>
      <c r="E106" s="45"/>
      <c r="F106" s="153">
        <f>sum(14.63,0.36,0.35)</f>
        <v>15.34</v>
      </c>
      <c r="G106" s="148"/>
      <c r="H106" s="148"/>
      <c r="I106" s="148"/>
      <c r="J106" s="148"/>
      <c r="L106" s="134"/>
    </row>
    <row r="107">
      <c r="A107" s="86">
        <v>2023.0</v>
      </c>
      <c r="B107" s="86">
        <v>6.0</v>
      </c>
      <c r="C107" s="86">
        <v>12.0</v>
      </c>
      <c r="D107" s="154" t="s">
        <v>41</v>
      </c>
      <c r="E107" s="45"/>
      <c r="F107" s="153">
        <v>3.47</v>
      </c>
      <c r="G107" s="148"/>
      <c r="H107" s="148"/>
      <c r="I107" s="148"/>
      <c r="J107" s="148"/>
      <c r="L107" s="134"/>
    </row>
    <row r="108">
      <c r="A108" s="86">
        <v>2023.0</v>
      </c>
      <c r="B108" s="86">
        <v>6.0</v>
      </c>
      <c r="C108" s="86">
        <v>2.0</v>
      </c>
      <c r="D108" s="154" t="s">
        <v>182</v>
      </c>
      <c r="E108" s="45"/>
      <c r="F108" s="154">
        <f>sum(3975+1125)</f>
        <v>5100</v>
      </c>
      <c r="G108" s="148"/>
      <c r="H108" s="148"/>
      <c r="I108" s="148"/>
      <c r="J108" s="148"/>
      <c r="L108" s="134"/>
    </row>
    <row r="109">
      <c r="A109" s="86">
        <v>2023.0</v>
      </c>
      <c r="B109" s="86">
        <v>6.0</v>
      </c>
      <c r="C109" s="86">
        <v>1.0</v>
      </c>
      <c r="D109" s="82" t="s">
        <v>158</v>
      </c>
      <c r="E109" s="45"/>
      <c r="F109" s="154">
        <v>726.0</v>
      </c>
      <c r="G109" s="148"/>
      <c r="H109" s="148"/>
      <c r="I109" s="148"/>
      <c r="J109" s="148"/>
      <c r="L109" s="134"/>
    </row>
    <row r="110">
      <c r="A110" s="86">
        <v>2023.0</v>
      </c>
      <c r="B110" s="86">
        <v>6.0</v>
      </c>
      <c r="C110" s="86">
        <v>1.0</v>
      </c>
      <c r="D110" s="154" t="s">
        <v>159</v>
      </c>
      <c r="E110" s="45"/>
      <c r="F110" s="154">
        <v>7500.0</v>
      </c>
      <c r="G110" s="148"/>
      <c r="H110" s="148"/>
      <c r="I110" s="148"/>
      <c r="J110" s="148"/>
      <c r="L110" s="134"/>
    </row>
    <row r="111">
      <c r="A111" s="86">
        <v>2023.0</v>
      </c>
      <c r="B111" s="86">
        <v>5.0</v>
      </c>
      <c r="C111" s="86">
        <v>26.0</v>
      </c>
      <c r="D111" s="154" t="s">
        <v>178</v>
      </c>
      <c r="E111" s="45"/>
      <c r="F111" s="153">
        <v>1.31</v>
      </c>
      <c r="G111" s="148"/>
      <c r="H111" s="148"/>
      <c r="I111" s="148"/>
      <c r="J111" s="148"/>
      <c r="L111" s="134"/>
    </row>
    <row r="112">
      <c r="A112" s="86">
        <v>2023.0</v>
      </c>
      <c r="B112" s="86">
        <v>5.0</v>
      </c>
      <c r="C112" s="86">
        <v>26.0</v>
      </c>
      <c r="D112" s="154" t="s">
        <v>146</v>
      </c>
      <c r="E112" s="45"/>
      <c r="F112" s="153">
        <f>sum(4.77-0.72)</f>
        <v>4.05</v>
      </c>
      <c r="G112" s="148"/>
      <c r="H112" s="148"/>
      <c r="I112" s="148"/>
      <c r="J112" s="148"/>
      <c r="L112" s="134"/>
    </row>
    <row r="113">
      <c r="A113" s="86">
        <v>2023.0</v>
      </c>
      <c r="B113" s="86">
        <v>5.0</v>
      </c>
      <c r="C113" s="86">
        <v>19.0</v>
      </c>
      <c r="D113" s="82" t="s">
        <v>179</v>
      </c>
      <c r="E113" s="45"/>
      <c r="F113" s="153">
        <f>sum(3.26,0.04,0.84)</f>
        <v>4.14</v>
      </c>
      <c r="G113" s="148"/>
      <c r="H113" s="148"/>
      <c r="I113" s="148"/>
      <c r="J113" s="148"/>
      <c r="L113" s="134"/>
    </row>
    <row r="114">
      <c r="A114" s="86">
        <v>2023.0</v>
      </c>
      <c r="B114" s="86">
        <v>5.0</v>
      </c>
      <c r="C114" s="86">
        <v>17.0</v>
      </c>
      <c r="D114" s="154" t="s">
        <v>37</v>
      </c>
      <c r="E114" s="45"/>
      <c r="F114" s="154">
        <f>sum(40011,22382,7645)</f>
        <v>70038</v>
      </c>
      <c r="G114" s="148"/>
      <c r="H114" s="148"/>
      <c r="I114" s="148"/>
      <c r="J114" s="148"/>
      <c r="L114" s="134"/>
    </row>
    <row r="115">
      <c r="A115" s="86">
        <v>2023.0</v>
      </c>
      <c r="B115" s="86">
        <v>5.0</v>
      </c>
      <c r="C115" s="86">
        <v>17.0</v>
      </c>
      <c r="D115" s="154" t="s">
        <v>39</v>
      </c>
      <c r="E115" s="45"/>
      <c r="F115" s="154">
        <v>10394.0</v>
      </c>
      <c r="G115" s="148"/>
      <c r="H115" s="148"/>
      <c r="I115" s="148"/>
      <c r="J115" s="148"/>
      <c r="L115" s="134"/>
    </row>
    <row r="116">
      <c r="A116" s="86">
        <v>2023.0</v>
      </c>
      <c r="B116" s="86">
        <v>5.0</v>
      </c>
      <c r="C116" s="86">
        <v>15.0</v>
      </c>
      <c r="D116" s="82" t="s">
        <v>156</v>
      </c>
      <c r="E116" s="45"/>
      <c r="F116" s="153">
        <v>1.08</v>
      </c>
      <c r="G116" s="148"/>
      <c r="H116" s="148"/>
      <c r="I116" s="148"/>
      <c r="J116" s="148"/>
      <c r="L116" s="134"/>
    </row>
    <row r="117">
      <c r="A117" s="86">
        <v>2023.0</v>
      </c>
      <c r="B117" s="86">
        <v>5.0</v>
      </c>
      <c r="C117" s="86">
        <v>12.0</v>
      </c>
      <c r="D117" s="154" t="s">
        <v>160</v>
      </c>
      <c r="E117" s="45"/>
      <c r="F117" s="153">
        <v>1.58</v>
      </c>
      <c r="G117" s="148"/>
      <c r="H117" s="148"/>
      <c r="I117" s="148"/>
      <c r="J117" s="148"/>
      <c r="L117" s="134"/>
    </row>
    <row r="118">
      <c r="A118" s="86">
        <v>2023.0</v>
      </c>
      <c r="B118" s="86">
        <v>5.0</v>
      </c>
      <c r="C118" s="86">
        <v>11.0</v>
      </c>
      <c r="D118" s="154" t="s">
        <v>180</v>
      </c>
      <c r="E118" s="45"/>
      <c r="F118" s="153">
        <v>0.04</v>
      </c>
      <c r="G118" s="148"/>
      <c r="H118" s="148"/>
      <c r="I118" s="148"/>
      <c r="J118" s="148"/>
      <c r="L118" s="134"/>
    </row>
    <row r="119">
      <c r="A119" s="86">
        <v>2023.0</v>
      </c>
      <c r="B119" s="86">
        <v>5.0</v>
      </c>
      <c r="C119" s="86">
        <v>3.0</v>
      </c>
      <c r="D119" s="154" t="s">
        <v>190</v>
      </c>
      <c r="E119" s="45"/>
      <c r="F119" s="154">
        <v>150.0</v>
      </c>
      <c r="G119" s="148"/>
      <c r="H119" s="148"/>
      <c r="I119" s="148"/>
      <c r="J119" s="148"/>
      <c r="L119" s="134"/>
    </row>
    <row r="120">
      <c r="A120" s="86">
        <v>2023.0</v>
      </c>
      <c r="B120" s="86">
        <v>5.0</v>
      </c>
      <c r="C120" s="86">
        <v>3.0</v>
      </c>
      <c r="D120" s="154" t="s">
        <v>162</v>
      </c>
      <c r="E120" s="45"/>
      <c r="F120" s="154">
        <v>2100.0</v>
      </c>
      <c r="G120" s="148"/>
      <c r="H120" s="148"/>
      <c r="I120" s="148"/>
      <c r="J120" s="148"/>
      <c r="L120" s="134"/>
    </row>
    <row r="121">
      <c r="A121" s="86">
        <v>2023.0</v>
      </c>
      <c r="B121" s="86">
        <v>5.0</v>
      </c>
      <c r="C121" s="86">
        <v>3.0</v>
      </c>
      <c r="D121" s="154" t="s">
        <v>163</v>
      </c>
      <c r="E121" s="45"/>
      <c r="F121" s="154">
        <v>2640.0</v>
      </c>
      <c r="G121" s="148"/>
      <c r="H121" s="148"/>
      <c r="I121" s="148"/>
      <c r="J121" s="148"/>
      <c r="L121" s="134"/>
    </row>
    <row r="122">
      <c r="A122" s="86">
        <v>2023.0</v>
      </c>
      <c r="B122" s="86">
        <v>5.0</v>
      </c>
      <c r="C122" s="86">
        <v>3.0</v>
      </c>
      <c r="D122" s="154" t="s">
        <v>182</v>
      </c>
      <c r="E122" s="45"/>
      <c r="F122" s="154">
        <f>sum(900,3180)</f>
        <v>4080</v>
      </c>
      <c r="G122" s="148"/>
      <c r="H122" s="148"/>
      <c r="I122" s="148"/>
      <c r="J122" s="148"/>
      <c r="L122" s="134"/>
    </row>
    <row r="123">
      <c r="A123" s="86">
        <v>2023.0</v>
      </c>
      <c r="B123" s="86">
        <v>5.0</v>
      </c>
      <c r="C123" s="86">
        <v>3.0</v>
      </c>
      <c r="D123" s="154" t="s">
        <v>164</v>
      </c>
      <c r="E123" s="45"/>
      <c r="F123" s="154">
        <f>sum(7440,3720)</f>
        <v>11160</v>
      </c>
      <c r="G123" s="148"/>
      <c r="H123" s="148"/>
      <c r="I123" s="148"/>
      <c r="J123" s="148"/>
      <c r="L123" s="134"/>
    </row>
    <row r="124">
      <c r="A124" s="86">
        <v>2023.0</v>
      </c>
      <c r="B124" s="86">
        <v>5.0</v>
      </c>
      <c r="C124" s="86">
        <v>3.0</v>
      </c>
      <c r="D124" s="82" t="s">
        <v>191</v>
      </c>
      <c r="E124" s="45"/>
      <c r="F124" s="154">
        <f>sum(1710,135,1170,1477)</f>
        <v>4492</v>
      </c>
      <c r="G124" s="148"/>
      <c r="H124" s="148"/>
      <c r="I124" s="148"/>
      <c r="J124" s="148"/>
      <c r="L124" s="134"/>
    </row>
    <row r="125">
      <c r="A125" s="86">
        <v>2023.0</v>
      </c>
      <c r="B125" s="86">
        <v>5.0</v>
      </c>
      <c r="C125" s="86">
        <v>2.0</v>
      </c>
      <c r="D125" s="154" t="s">
        <v>158</v>
      </c>
      <c r="E125" s="45"/>
      <c r="F125" s="154">
        <v>440.0</v>
      </c>
      <c r="G125" s="148"/>
      <c r="H125" s="148"/>
      <c r="I125" s="148"/>
      <c r="J125" s="148"/>
      <c r="L125" s="134"/>
    </row>
    <row r="126">
      <c r="A126" s="86">
        <v>2023.0</v>
      </c>
      <c r="B126" s="86">
        <v>5.0</v>
      </c>
      <c r="C126" s="86">
        <v>2.0</v>
      </c>
      <c r="D126" s="154" t="s">
        <v>165</v>
      </c>
      <c r="E126" s="45"/>
      <c r="F126" s="153">
        <v>5.12</v>
      </c>
      <c r="G126" s="148"/>
      <c r="H126" s="148"/>
      <c r="I126" s="148"/>
      <c r="J126" s="148"/>
      <c r="L126" s="134"/>
    </row>
    <row r="127">
      <c r="A127" s="86">
        <v>2023.0</v>
      </c>
      <c r="B127" s="86">
        <v>5.0</v>
      </c>
      <c r="C127" s="86">
        <v>2.0</v>
      </c>
      <c r="D127" s="154" t="s">
        <v>166</v>
      </c>
      <c r="E127" s="45"/>
      <c r="F127" s="153">
        <v>3.84</v>
      </c>
      <c r="G127" s="148"/>
      <c r="H127" s="148"/>
      <c r="I127" s="148"/>
      <c r="J127" s="148"/>
      <c r="L127" s="134"/>
    </row>
    <row r="128">
      <c r="A128" s="86">
        <v>2023.0</v>
      </c>
      <c r="B128" s="86">
        <v>4.0</v>
      </c>
      <c r="C128" s="86">
        <v>21.0</v>
      </c>
      <c r="D128" s="82" t="s">
        <v>90</v>
      </c>
      <c r="E128" s="45"/>
      <c r="F128" s="154">
        <v>6000.0</v>
      </c>
      <c r="G128" s="148"/>
      <c r="H128" s="148"/>
      <c r="I128" s="148"/>
      <c r="J128" s="148"/>
      <c r="L128" s="134"/>
    </row>
    <row r="129">
      <c r="A129" s="86">
        <v>2023.0</v>
      </c>
      <c r="B129" s="86">
        <v>4.0</v>
      </c>
      <c r="C129" s="86">
        <v>14.0</v>
      </c>
      <c r="D129" s="82" t="s">
        <v>168</v>
      </c>
      <c r="E129" s="45"/>
      <c r="F129" s="153">
        <v>1.43</v>
      </c>
      <c r="G129" s="148"/>
      <c r="H129" s="148"/>
      <c r="I129" s="148"/>
      <c r="J129" s="148"/>
      <c r="L129" s="134"/>
    </row>
    <row r="130">
      <c r="A130" s="86">
        <v>2023.0</v>
      </c>
      <c r="B130" s="86">
        <v>4.0</v>
      </c>
      <c r="C130" s="86">
        <v>14.0</v>
      </c>
      <c r="D130" s="82" t="s">
        <v>156</v>
      </c>
      <c r="E130" s="45"/>
      <c r="F130" s="153">
        <v>1.08</v>
      </c>
      <c r="G130" s="148"/>
      <c r="H130" s="148"/>
      <c r="I130" s="148"/>
      <c r="J130" s="148"/>
      <c r="L130" s="134"/>
    </row>
    <row r="131">
      <c r="A131" s="86">
        <v>2023.0</v>
      </c>
      <c r="B131" s="86">
        <v>4.0</v>
      </c>
      <c r="C131" s="86">
        <v>13.0</v>
      </c>
      <c r="D131" s="82" t="s">
        <v>167</v>
      </c>
      <c r="E131" s="45"/>
      <c r="F131" s="153">
        <v>2.52</v>
      </c>
      <c r="G131" s="148"/>
      <c r="H131" s="148"/>
      <c r="I131" s="148"/>
      <c r="J131" s="148"/>
      <c r="L131" s="134"/>
    </row>
    <row r="132">
      <c r="A132" s="86">
        <v>2023.0</v>
      </c>
      <c r="B132" s="86">
        <v>4.0</v>
      </c>
      <c r="C132" s="86">
        <v>13.0</v>
      </c>
      <c r="D132" s="82" t="s">
        <v>183</v>
      </c>
      <c r="E132" s="45"/>
      <c r="F132" s="153">
        <f>sum(1.28,0)</f>
        <v>1.28</v>
      </c>
      <c r="G132" s="148"/>
      <c r="H132" s="148"/>
      <c r="I132" s="148"/>
      <c r="J132" s="148"/>
      <c r="L132" s="134"/>
    </row>
    <row r="133">
      <c r="A133" s="86">
        <v>2023.0</v>
      </c>
      <c r="B133" s="86">
        <v>4.0</v>
      </c>
      <c r="C133" s="86">
        <v>14.0</v>
      </c>
      <c r="D133" s="154" t="s">
        <v>192</v>
      </c>
      <c r="E133" s="45"/>
      <c r="F133" s="154">
        <f>sum(37800-5810)</f>
        <v>31990</v>
      </c>
      <c r="G133" s="148"/>
      <c r="H133" s="148"/>
      <c r="I133" s="148"/>
      <c r="J133" s="148"/>
      <c r="L133" s="134"/>
    </row>
    <row r="134">
      <c r="A134" s="86">
        <v>2023.0</v>
      </c>
      <c r="B134" s="86">
        <v>4.0</v>
      </c>
      <c r="C134" s="86">
        <v>14.0</v>
      </c>
      <c r="D134" s="154" t="s">
        <v>37</v>
      </c>
      <c r="E134" s="45"/>
      <c r="F134" s="154">
        <f>sum(40011,22382,7645)</f>
        <v>70038</v>
      </c>
      <c r="G134" s="148"/>
      <c r="H134" s="148"/>
      <c r="I134" s="148"/>
      <c r="J134" s="148"/>
      <c r="L134" s="134"/>
    </row>
    <row r="135">
      <c r="A135" s="86">
        <v>2023.0</v>
      </c>
      <c r="B135" s="86">
        <v>4.0</v>
      </c>
      <c r="C135" s="86">
        <v>14.0</v>
      </c>
      <c r="D135" s="154" t="s">
        <v>39</v>
      </c>
      <c r="E135" s="45"/>
      <c r="F135" s="154">
        <f>sum(12308-1890)</f>
        <v>10418</v>
      </c>
      <c r="G135" s="148"/>
      <c r="H135" s="148"/>
      <c r="I135" s="148"/>
      <c r="J135" s="148"/>
      <c r="L135" s="134"/>
    </row>
    <row r="136">
      <c r="A136" s="86">
        <v>2023.0</v>
      </c>
      <c r="B136" s="86">
        <v>4.0</v>
      </c>
      <c r="C136" s="86">
        <v>5.0</v>
      </c>
      <c r="D136" s="82" t="s">
        <v>63</v>
      </c>
      <c r="E136" s="45"/>
      <c r="F136" s="153">
        <v>34.4</v>
      </c>
      <c r="G136" s="148"/>
      <c r="H136" s="148"/>
      <c r="I136" s="148"/>
      <c r="J136" s="148"/>
      <c r="L136" s="134"/>
    </row>
    <row r="137">
      <c r="A137" s="86">
        <v>2023.0</v>
      </c>
      <c r="B137" s="86">
        <v>4.0</v>
      </c>
      <c r="C137" s="86">
        <v>4.0</v>
      </c>
      <c r="D137" s="154" t="s">
        <v>158</v>
      </c>
      <c r="E137" s="45"/>
      <c r="F137" s="154">
        <v>638.0</v>
      </c>
      <c r="G137" s="148"/>
      <c r="H137" s="148"/>
      <c r="I137" s="148"/>
      <c r="J137" s="148"/>
      <c r="L137" s="134"/>
    </row>
    <row r="138">
      <c r="A138" s="86">
        <v>2023.0</v>
      </c>
      <c r="B138" s="86">
        <v>4.0</v>
      </c>
      <c r="C138" s="86">
        <v>4.0</v>
      </c>
      <c r="D138" s="82" t="s">
        <v>184</v>
      </c>
      <c r="E138" s="45"/>
      <c r="F138" s="153">
        <v>0.58</v>
      </c>
      <c r="G138" s="148"/>
      <c r="H138" s="148"/>
      <c r="I138" s="148"/>
      <c r="J138" s="148"/>
      <c r="L138" s="134"/>
    </row>
    <row r="139">
      <c r="A139" s="86">
        <v>2023.0</v>
      </c>
      <c r="B139" s="86">
        <v>4.0</v>
      </c>
      <c r="C139" s="86">
        <v>4.0</v>
      </c>
      <c r="D139" s="154" t="s">
        <v>182</v>
      </c>
      <c r="E139" s="45"/>
      <c r="F139" s="154">
        <f>sum(7950,2250)</f>
        <v>10200</v>
      </c>
      <c r="G139" s="148"/>
      <c r="H139" s="148"/>
      <c r="I139" s="148"/>
      <c r="J139" s="148"/>
      <c r="L139" s="134"/>
    </row>
    <row r="140">
      <c r="A140" s="86">
        <v>2023.0</v>
      </c>
      <c r="B140" s="86">
        <v>4.0</v>
      </c>
      <c r="C140" s="86">
        <v>3.0</v>
      </c>
      <c r="D140" s="82" t="s">
        <v>193</v>
      </c>
      <c r="E140" s="45"/>
      <c r="F140" s="153">
        <f>sum(1.53,0.83)</f>
        <v>2.36</v>
      </c>
      <c r="G140" s="148"/>
      <c r="H140" s="148"/>
      <c r="I140" s="148"/>
      <c r="J140" s="148"/>
      <c r="L140" s="134"/>
    </row>
    <row r="141">
      <c r="A141" s="86">
        <v>2023.0</v>
      </c>
      <c r="B141" s="86">
        <v>4.0</v>
      </c>
      <c r="C141" s="86">
        <v>3.0</v>
      </c>
      <c r="D141" s="154" t="s">
        <v>185</v>
      </c>
      <c r="E141" s="45"/>
      <c r="F141" s="153">
        <v>0.19</v>
      </c>
      <c r="G141" s="148"/>
      <c r="H141" s="148"/>
      <c r="I141" s="148"/>
      <c r="J141" s="148"/>
      <c r="L141" s="134"/>
    </row>
    <row r="142">
      <c r="A142" s="86">
        <v>2023.0</v>
      </c>
      <c r="B142" s="86">
        <v>3.0</v>
      </c>
      <c r="C142" s="86">
        <v>31.0</v>
      </c>
      <c r="D142" s="154" t="s">
        <v>194</v>
      </c>
      <c r="E142" s="45"/>
      <c r="F142" s="153">
        <v>4.21</v>
      </c>
      <c r="G142" s="148"/>
      <c r="H142" s="148"/>
      <c r="I142" s="148"/>
      <c r="J142" s="148"/>
      <c r="L142" s="134"/>
    </row>
    <row r="143">
      <c r="A143" s="86">
        <v>2023.0</v>
      </c>
      <c r="B143" s="86">
        <v>3.0</v>
      </c>
      <c r="C143" s="86">
        <v>31.0</v>
      </c>
      <c r="D143" s="154" t="s">
        <v>171</v>
      </c>
      <c r="E143" s="45"/>
      <c r="F143" s="153">
        <v>0.91</v>
      </c>
      <c r="G143" s="148"/>
      <c r="H143" s="148"/>
      <c r="I143" s="148"/>
      <c r="J143" s="148"/>
      <c r="L143" s="134"/>
    </row>
    <row r="144">
      <c r="A144" s="86">
        <v>2023.0</v>
      </c>
      <c r="B144" s="86">
        <v>3.0</v>
      </c>
      <c r="C144" s="86">
        <v>30.0</v>
      </c>
      <c r="D144" s="154" t="s">
        <v>195</v>
      </c>
      <c r="E144" s="45"/>
      <c r="F144" s="153">
        <v>0.44</v>
      </c>
      <c r="G144" s="148"/>
      <c r="H144" s="148"/>
      <c r="I144" s="148"/>
      <c r="J144" s="148"/>
      <c r="L144" s="134"/>
    </row>
    <row r="145">
      <c r="A145" s="86">
        <v>2023.0</v>
      </c>
      <c r="B145" s="86">
        <v>3.0</v>
      </c>
      <c r="C145" s="86">
        <v>25.0</v>
      </c>
      <c r="D145" s="82" t="s">
        <v>72</v>
      </c>
      <c r="E145" s="45"/>
      <c r="F145" s="153">
        <v>17.07</v>
      </c>
      <c r="G145" s="148"/>
      <c r="H145" s="148"/>
      <c r="I145" s="148"/>
      <c r="J145" s="148"/>
      <c r="L145" s="134"/>
    </row>
    <row r="146">
      <c r="A146" s="86">
        <v>2023.0</v>
      </c>
      <c r="B146" s="86">
        <v>3.0</v>
      </c>
      <c r="C146" s="86">
        <v>16.0</v>
      </c>
      <c r="D146" s="82" t="s">
        <v>156</v>
      </c>
      <c r="E146" s="45"/>
      <c r="F146" s="153">
        <v>1.08</v>
      </c>
      <c r="G146" s="148"/>
      <c r="H146" s="148"/>
      <c r="I146" s="148"/>
      <c r="J146" s="148"/>
      <c r="L146" s="134"/>
    </row>
    <row r="147">
      <c r="A147" s="86">
        <v>2023.0</v>
      </c>
      <c r="B147" s="86">
        <v>3.0</v>
      </c>
      <c r="C147" s="86">
        <v>11.0</v>
      </c>
      <c r="D147" s="154" t="s">
        <v>41</v>
      </c>
      <c r="E147" s="45"/>
      <c r="F147" s="153">
        <f>sum(4.08-0.62)</f>
        <v>3.46</v>
      </c>
      <c r="G147" s="148"/>
      <c r="H147" s="148"/>
      <c r="I147" s="148"/>
      <c r="J147" s="148"/>
      <c r="L147" s="134"/>
    </row>
    <row r="148">
      <c r="A148" s="86">
        <v>2023.0</v>
      </c>
      <c r="B148" s="86">
        <v>3.0</v>
      </c>
      <c r="C148" s="86">
        <v>6.0</v>
      </c>
      <c r="D148" s="154" t="s">
        <v>176</v>
      </c>
      <c r="E148" s="45"/>
      <c r="F148" s="153">
        <v>9.4</v>
      </c>
      <c r="G148" s="148"/>
      <c r="H148" s="148"/>
      <c r="I148" s="148"/>
      <c r="J148" s="148"/>
      <c r="L148" s="134"/>
    </row>
    <row r="149">
      <c r="A149" s="86">
        <v>2023.0</v>
      </c>
      <c r="B149" s="86">
        <v>3.0</v>
      </c>
      <c r="C149" s="86">
        <v>3.0</v>
      </c>
      <c r="D149" s="154" t="s">
        <v>182</v>
      </c>
      <c r="E149" s="45"/>
      <c r="F149" s="154">
        <v>4080.0</v>
      </c>
      <c r="G149" s="148"/>
      <c r="H149" s="148"/>
      <c r="I149" s="148"/>
      <c r="J149" s="148"/>
      <c r="L149" s="134"/>
    </row>
    <row r="150">
      <c r="A150" s="86">
        <v>2023.0</v>
      </c>
      <c r="B150" s="86">
        <v>2.0</v>
      </c>
      <c r="C150" s="86">
        <v>28.0</v>
      </c>
      <c r="D150" s="154" t="s">
        <v>146</v>
      </c>
      <c r="E150" s="45"/>
      <c r="F150" s="153">
        <f>sum(4.77-0.72)</f>
        <v>4.05</v>
      </c>
      <c r="G150" s="148"/>
      <c r="H150" s="148"/>
      <c r="I150" s="148"/>
      <c r="J150" s="148"/>
      <c r="L150" s="134"/>
    </row>
    <row r="151">
      <c r="A151" s="86">
        <v>2023.0</v>
      </c>
      <c r="B151" s="86">
        <v>2.0</v>
      </c>
      <c r="C151" s="86">
        <v>17.0</v>
      </c>
      <c r="D151" s="82" t="s">
        <v>179</v>
      </c>
      <c r="E151" s="45"/>
      <c r="F151" s="153">
        <f>sum(3.12,0.04,0.81)</f>
        <v>3.97</v>
      </c>
      <c r="G151" s="148"/>
      <c r="H151" s="148"/>
      <c r="I151" s="148"/>
      <c r="J151" s="148"/>
      <c r="L151" s="134"/>
    </row>
    <row r="152">
      <c r="A152" s="86">
        <v>2023.0</v>
      </c>
      <c r="B152" s="86">
        <v>2.0</v>
      </c>
      <c r="C152" s="86">
        <v>16.0</v>
      </c>
      <c r="D152" s="82" t="s">
        <v>156</v>
      </c>
      <c r="E152" s="45"/>
      <c r="F152" s="153">
        <f>sum(1.24-0.18)</f>
        <v>1.06</v>
      </c>
      <c r="G152" s="148"/>
      <c r="H152" s="148"/>
      <c r="I152" s="148"/>
      <c r="J152" s="148"/>
      <c r="L152" s="134"/>
    </row>
    <row r="153">
      <c r="A153" s="86">
        <v>2023.0</v>
      </c>
      <c r="B153" s="86">
        <v>2.0</v>
      </c>
      <c r="C153" s="86">
        <v>2.0</v>
      </c>
      <c r="D153" s="154" t="s">
        <v>163</v>
      </c>
      <c r="E153" s="45"/>
      <c r="F153" s="154">
        <v>1920.0</v>
      </c>
      <c r="G153" s="148"/>
      <c r="H153" s="148"/>
      <c r="I153" s="148"/>
      <c r="J153" s="148"/>
      <c r="L153" s="134"/>
    </row>
    <row r="154">
      <c r="A154" s="86">
        <v>2023.0</v>
      </c>
      <c r="B154" s="86">
        <v>2.0</v>
      </c>
      <c r="C154" s="86">
        <v>2.0</v>
      </c>
      <c r="D154" s="154" t="s">
        <v>182</v>
      </c>
      <c r="E154" s="45"/>
      <c r="F154" s="154">
        <f>sum(675,2385)</f>
        <v>3060</v>
      </c>
      <c r="G154" s="148"/>
      <c r="H154" s="148"/>
      <c r="I154" s="148"/>
      <c r="J154" s="148"/>
      <c r="L154" s="134"/>
    </row>
    <row r="155">
      <c r="A155" s="86">
        <v>2023.0</v>
      </c>
      <c r="B155" s="86">
        <v>2.0</v>
      </c>
      <c r="C155" s="86">
        <v>2.0</v>
      </c>
      <c r="D155" s="154" t="s">
        <v>164</v>
      </c>
      <c r="E155" s="45"/>
      <c r="F155" s="154">
        <f>sum(4090,2015)</f>
        <v>6105</v>
      </c>
      <c r="G155" s="148"/>
      <c r="H155" s="148"/>
      <c r="I155" s="148"/>
      <c r="J155" s="148"/>
      <c r="L155" s="134"/>
    </row>
    <row r="156">
      <c r="A156" s="86">
        <v>2023.0</v>
      </c>
      <c r="B156" s="86">
        <v>2.0</v>
      </c>
      <c r="C156" s="86">
        <v>21.0</v>
      </c>
      <c r="D156" s="154" t="s">
        <v>165</v>
      </c>
      <c r="E156" s="45"/>
      <c r="F156" s="153">
        <f>sum(7.12-1.07)</f>
        <v>6.05</v>
      </c>
      <c r="G156" s="148"/>
      <c r="H156" s="148"/>
      <c r="I156" s="148"/>
      <c r="J156" s="148"/>
      <c r="L156" s="134"/>
    </row>
    <row r="157">
      <c r="A157" s="86">
        <v>2023.0</v>
      </c>
      <c r="B157" s="86">
        <v>2.0</v>
      </c>
      <c r="C157" s="86">
        <v>1.0</v>
      </c>
      <c r="D157" s="154" t="s">
        <v>166</v>
      </c>
      <c r="E157" s="45"/>
      <c r="F157" s="153">
        <v>4.54</v>
      </c>
      <c r="G157" s="148"/>
      <c r="H157" s="148"/>
      <c r="I157" s="148"/>
      <c r="J157" s="148"/>
      <c r="L157" s="134"/>
    </row>
    <row r="158">
      <c r="A158" s="86">
        <v>2023.0</v>
      </c>
      <c r="B158" s="86">
        <v>1.0</v>
      </c>
      <c r="C158" s="86">
        <v>16.0</v>
      </c>
      <c r="D158" s="82" t="s">
        <v>156</v>
      </c>
      <c r="E158" s="45"/>
      <c r="F158" s="153">
        <f>sum(1.24-0.18)</f>
        <v>1.06</v>
      </c>
      <c r="G158" s="148"/>
      <c r="H158" s="148"/>
      <c r="I158" s="148"/>
      <c r="J158" s="148"/>
      <c r="L158" s="134"/>
    </row>
    <row r="159">
      <c r="A159" s="86">
        <v>2023.0</v>
      </c>
      <c r="B159" s="86">
        <v>1.0</v>
      </c>
      <c r="C159" s="86">
        <v>12.0</v>
      </c>
      <c r="D159" s="82" t="s">
        <v>196</v>
      </c>
      <c r="E159" s="45"/>
      <c r="F159" s="153">
        <v>1.28</v>
      </c>
      <c r="G159" s="148"/>
      <c r="H159" s="148"/>
      <c r="I159" s="148"/>
      <c r="J159" s="148"/>
      <c r="L159" s="134"/>
    </row>
    <row r="160">
      <c r="A160" s="86">
        <v>2023.0</v>
      </c>
      <c r="B160" s="86">
        <v>1.0</v>
      </c>
      <c r="C160" s="86">
        <v>12.0</v>
      </c>
      <c r="D160" s="82" t="s">
        <v>167</v>
      </c>
      <c r="E160" s="45"/>
      <c r="F160" s="153">
        <v>2.52</v>
      </c>
      <c r="G160" s="148"/>
      <c r="H160" s="148"/>
      <c r="I160" s="148"/>
      <c r="J160" s="148"/>
      <c r="L160" s="134"/>
    </row>
    <row r="161">
      <c r="A161" s="86">
        <v>2023.0</v>
      </c>
      <c r="B161" s="86">
        <v>1.0</v>
      </c>
      <c r="C161" s="86">
        <v>3.0</v>
      </c>
      <c r="D161" s="154" t="s">
        <v>182</v>
      </c>
      <c r="E161" s="45"/>
      <c r="F161" s="154">
        <f>sum(350,1590)</f>
        <v>1940</v>
      </c>
      <c r="G161" s="148"/>
      <c r="H161" s="148"/>
      <c r="I161" s="148"/>
      <c r="J161" s="148"/>
      <c r="L161" s="134"/>
    </row>
    <row r="162">
      <c r="A162" s="86">
        <v>2023.0</v>
      </c>
      <c r="B162" s="86">
        <v>1.0</v>
      </c>
      <c r="C162" s="86">
        <v>2.0</v>
      </c>
      <c r="D162" s="82" t="s">
        <v>187</v>
      </c>
      <c r="E162" s="45"/>
      <c r="F162" s="153">
        <v>2.36</v>
      </c>
      <c r="G162" s="148"/>
      <c r="H162" s="148"/>
      <c r="I162" s="148"/>
      <c r="J162" s="148"/>
      <c r="L162" s="134"/>
    </row>
    <row r="163">
      <c r="A163" s="86">
        <v>2023.0</v>
      </c>
      <c r="B163" s="86">
        <v>1.0</v>
      </c>
      <c r="C163" s="86">
        <v>2.0</v>
      </c>
      <c r="D163" s="154" t="s">
        <v>185</v>
      </c>
      <c r="E163" s="45"/>
      <c r="F163" s="153">
        <v>0.19</v>
      </c>
      <c r="G163" s="148"/>
      <c r="H163" s="148"/>
      <c r="I163" s="148"/>
      <c r="J163" s="148"/>
      <c r="L163" s="134"/>
    </row>
    <row r="164">
      <c r="A164" s="109">
        <v>2024.0</v>
      </c>
      <c r="B164" s="109">
        <v>6.0</v>
      </c>
      <c r="C164" s="109">
        <v>18.0</v>
      </c>
      <c r="D164" s="150" t="s">
        <v>41</v>
      </c>
      <c r="F164" s="160">
        <v>4.47</v>
      </c>
      <c r="G164" s="150" t="s">
        <v>12</v>
      </c>
      <c r="H164" s="148"/>
      <c r="I164" s="150" t="s">
        <v>112</v>
      </c>
      <c r="J164" s="148"/>
      <c r="K164" s="109" t="s">
        <v>113</v>
      </c>
      <c r="L164" s="134"/>
    </row>
    <row r="165">
      <c r="A165" s="109">
        <v>2024.0</v>
      </c>
      <c r="B165" s="109">
        <v>6.0</v>
      </c>
      <c r="C165" s="109">
        <v>18.0</v>
      </c>
      <c r="D165" s="150" t="s">
        <v>73</v>
      </c>
      <c r="F165" s="151">
        <v>0.8</v>
      </c>
      <c r="G165" s="150" t="s">
        <v>12</v>
      </c>
      <c r="H165" s="148"/>
      <c r="I165" s="150" t="s">
        <v>112</v>
      </c>
      <c r="J165" s="148"/>
      <c r="K165" s="109" t="s">
        <v>113</v>
      </c>
      <c r="L165" s="134"/>
    </row>
    <row r="166">
      <c r="A166" s="150">
        <v>2024.0</v>
      </c>
      <c r="B166" s="150">
        <v>6.0</v>
      </c>
      <c r="C166" s="150">
        <v>17.0</v>
      </c>
      <c r="D166" s="150" t="s">
        <v>197</v>
      </c>
      <c r="F166" s="160">
        <v>0.03</v>
      </c>
      <c r="G166" s="150" t="s">
        <v>12</v>
      </c>
      <c r="H166" s="150"/>
      <c r="I166" s="150" t="s">
        <v>116</v>
      </c>
      <c r="J166" s="148"/>
      <c r="K166" s="109" t="s">
        <v>113</v>
      </c>
      <c r="L166" s="134"/>
    </row>
    <row r="167">
      <c r="A167" s="150">
        <v>2024.0</v>
      </c>
      <c r="B167" s="150">
        <v>6.0</v>
      </c>
      <c r="C167" s="150">
        <v>17.0</v>
      </c>
      <c r="D167" s="150" t="s">
        <v>198</v>
      </c>
      <c r="F167" s="160">
        <v>0.68</v>
      </c>
      <c r="G167" s="150" t="s">
        <v>12</v>
      </c>
      <c r="H167" s="150"/>
      <c r="I167" s="150" t="s">
        <v>116</v>
      </c>
      <c r="J167" s="148"/>
      <c r="K167" s="109" t="s">
        <v>113</v>
      </c>
      <c r="L167" s="134"/>
    </row>
    <row r="168">
      <c r="A168" s="150">
        <v>2024.0</v>
      </c>
      <c r="B168" s="150">
        <v>6.0</v>
      </c>
      <c r="C168" s="150">
        <v>17.0</v>
      </c>
      <c r="D168" s="150" t="s">
        <v>199</v>
      </c>
      <c r="F168" s="160">
        <v>0.72</v>
      </c>
      <c r="G168" s="150" t="s">
        <v>12</v>
      </c>
      <c r="H168" s="150"/>
      <c r="I168" s="150" t="s">
        <v>116</v>
      </c>
      <c r="J168" s="148"/>
      <c r="K168" s="109" t="s">
        <v>113</v>
      </c>
      <c r="L168" s="134"/>
    </row>
    <row r="169">
      <c r="A169" s="150">
        <v>2024.0</v>
      </c>
      <c r="B169" s="150">
        <v>6.0</v>
      </c>
      <c r="C169" s="150">
        <v>14.0</v>
      </c>
      <c r="D169" s="150" t="s">
        <v>200</v>
      </c>
      <c r="F169" s="160">
        <v>0.58</v>
      </c>
      <c r="G169" s="150" t="s">
        <v>12</v>
      </c>
      <c r="H169" s="150"/>
      <c r="I169" s="150" t="s">
        <v>116</v>
      </c>
      <c r="J169" s="148"/>
      <c r="K169" s="109" t="s">
        <v>113</v>
      </c>
      <c r="L169" s="134"/>
    </row>
    <row r="170">
      <c r="A170" s="150">
        <v>2024.0</v>
      </c>
      <c r="B170" s="150">
        <v>6.0</v>
      </c>
      <c r="C170" s="150">
        <v>3.0</v>
      </c>
      <c r="D170" s="150" t="s">
        <v>201</v>
      </c>
      <c r="F170" s="160">
        <v>0.01</v>
      </c>
      <c r="G170" s="150" t="s">
        <v>12</v>
      </c>
      <c r="H170" s="150"/>
      <c r="I170" s="150" t="s">
        <v>116</v>
      </c>
      <c r="J170" s="148"/>
      <c r="K170" s="109" t="s">
        <v>113</v>
      </c>
      <c r="L170" s="134"/>
    </row>
    <row r="171">
      <c r="A171" s="150">
        <v>2024.0</v>
      </c>
      <c r="B171" s="150">
        <v>6.0</v>
      </c>
      <c r="C171" s="150">
        <v>20.0</v>
      </c>
      <c r="D171" s="150" t="s">
        <v>152</v>
      </c>
      <c r="F171" s="151">
        <v>4.11</v>
      </c>
      <c r="G171" s="150" t="s">
        <v>12</v>
      </c>
      <c r="H171" s="151">
        <v>1.611133</v>
      </c>
      <c r="I171" s="150" t="s">
        <v>112</v>
      </c>
      <c r="J171" s="150" t="s">
        <v>111</v>
      </c>
      <c r="K171" s="109" t="s">
        <v>113</v>
      </c>
      <c r="L171" s="134"/>
    </row>
    <row r="172">
      <c r="A172" s="150">
        <v>2024.0</v>
      </c>
      <c r="B172" s="150">
        <v>6.0</v>
      </c>
      <c r="C172" s="150">
        <v>27.0</v>
      </c>
      <c r="D172" s="150" t="s">
        <v>71</v>
      </c>
      <c r="F172" s="160">
        <v>24.37</v>
      </c>
      <c r="G172" s="150" t="s">
        <v>12</v>
      </c>
      <c r="H172" s="151">
        <v>1.0237</v>
      </c>
      <c r="I172" s="150" t="s">
        <v>112</v>
      </c>
      <c r="J172" s="150" t="s">
        <v>111</v>
      </c>
      <c r="K172" s="109" t="s">
        <v>113</v>
      </c>
      <c r="L172" s="134"/>
    </row>
    <row r="173">
      <c r="A173" s="150">
        <v>2024.0</v>
      </c>
      <c r="B173" s="150">
        <v>7.0</v>
      </c>
      <c r="C173" s="150">
        <v>2.0</v>
      </c>
      <c r="D173" s="150" t="s">
        <v>173</v>
      </c>
      <c r="F173" s="151">
        <v>0.63</v>
      </c>
      <c r="G173" s="150" t="s">
        <v>12</v>
      </c>
      <c r="H173" s="151">
        <v>0.37</v>
      </c>
      <c r="I173" s="150" t="s">
        <v>112</v>
      </c>
      <c r="J173" s="150" t="s">
        <v>111</v>
      </c>
      <c r="K173" s="109" t="s">
        <v>113</v>
      </c>
      <c r="L173" s="134"/>
    </row>
    <row r="174">
      <c r="A174" s="150">
        <v>2024.0</v>
      </c>
      <c r="B174" s="150">
        <v>7.0</v>
      </c>
      <c r="C174" s="150">
        <v>3.0</v>
      </c>
      <c r="D174" s="150" t="s">
        <v>46</v>
      </c>
      <c r="F174" s="151">
        <v>1.52</v>
      </c>
      <c r="G174" s="150" t="s">
        <v>12</v>
      </c>
      <c r="H174" s="151">
        <v>1.7835</v>
      </c>
      <c r="I174" s="150" t="s">
        <v>112</v>
      </c>
      <c r="J174" s="150" t="s">
        <v>111</v>
      </c>
      <c r="K174" s="109" t="s">
        <v>113</v>
      </c>
      <c r="L174" s="134"/>
    </row>
    <row r="175">
      <c r="A175" s="150">
        <v>2024.0</v>
      </c>
      <c r="B175" s="150">
        <v>7.0</v>
      </c>
      <c r="C175" s="150">
        <v>3.0</v>
      </c>
      <c r="D175" s="150" t="s">
        <v>63</v>
      </c>
      <c r="F175" s="151">
        <v>44.94</v>
      </c>
      <c r="G175" s="150" t="s">
        <v>12</v>
      </c>
      <c r="H175" s="151">
        <v>0.485</v>
      </c>
      <c r="I175" s="150" t="s">
        <v>112</v>
      </c>
      <c r="J175" s="150" t="s">
        <v>111</v>
      </c>
      <c r="K175" s="109" t="s">
        <v>113</v>
      </c>
      <c r="L175" s="134">
        <f>IFERROR(__xludf.DUMMYFUNCTION("F175*GOOGLEFINANCE(""CURRENCY:USDKRW"")"),65274.6759)</f>
        <v>65274.6759</v>
      </c>
    </row>
    <row r="176">
      <c r="A176" s="150">
        <v>2024.0</v>
      </c>
      <c r="B176" s="150">
        <v>7.0</v>
      </c>
      <c r="C176" s="150">
        <v>2.0</v>
      </c>
      <c r="D176" s="150" t="s">
        <v>147</v>
      </c>
      <c r="F176" s="152">
        <v>8745.0</v>
      </c>
      <c r="G176" s="150" t="s">
        <v>7</v>
      </c>
      <c r="H176" s="148"/>
      <c r="I176" s="150" t="s">
        <v>112</v>
      </c>
      <c r="J176" s="150" t="s">
        <v>123</v>
      </c>
      <c r="K176" s="109" t="s">
        <v>113</v>
      </c>
      <c r="L176" s="134"/>
    </row>
    <row r="177">
      <c r="A177" s="150">
        <v>2024.0</v>
      </c>
      <c r="B177" s="150">
        <v>7.0</v>
      </c>
      <c r="C177" s="150">
        <v>11.0</v>
      </c>
      <c r="D177" s="150" t="s">
        <v>202</v>
      </c>
      <c r="F177" s="160">
        <v>0.33</v>
      </c>
      <c r="G177" s="150" t="s">
        <v>12</v>
      </c>
      <c r="H177" s="151">
        <v>0.065</v>
      </c>
      <c r="I177" s="150" t="s">
        <v>112</v>
      </c>
      <c r="J177" s="150" t="s">
        <v>111</v>
      </c>
      <c r="K177" s="109" t="s">
        <v>113</v>
      </c>
      <c r="L177" s="134"/>
    </row>
    <row r="178">
      <c r="A178" s="150">
        <v>2024.0</v>
      </c>
      <c r="B178" s="150">
        <v>7.0</v>
      </c>
      <c r="C178" s="150">
        <v>10.0</v>
      </c>
      <c r="D178" s="150" t="s">
        <v>202</v>
      </c>
      <c r="F178" s="160">
        <v>2.47</v>
      </c>
      <c r="G178" s="150" t="s">
        <v>12</v>
      </c>
      <c r="H178" s="148"/>
      <c r="I178" s="150" t="s">
        <v>121</v>
      </c>
      <c r="J178" s="150" t="s">
        <v>111</v>
      </c>
      <c r="K178" s="109" t="s">
        <v>113</v>
      </c>
      <c r="L178" s="134">
        <f>IFERROR(__xludf.DUMMYFUNCTION("F178*GOOGLEFINANCE(""CURRENCY:USDKRW"")"),3587.6379500000007)</f>
        <v>3587.63795</v>
      </c>
    </row>
    <row r="179">
      <c r="A179" s="150">
        <v>2024.0</v>
      </c>
      <c r="B179" s="150">
        <v>7.0</v>
      </c>
      <c r="C179" s="150">
        <v>10.0</v>
      </c>
      <c r="D179" s="150" t="s">
        <v>202</v>
      </c>
      <c r="F179" s="160">
        <v>0.11</v>
      </c>
      <c r="G179" s="150" t="s">
        <v>12</v>
      </c>
      <c r="H179" s="148"/>
      <c r="I179" s="150" t="s">
        <v>121</v>
      </c>
      <c r="J179" s="150" t="s">
        <v>111</v>
      </c>
      <c r="K179" s="109" t="s">
        <v>113</v>
      </c>
      <c r="L179" s="134">
        <f>IFERROR(__xludf.DUMMYFUNCTION("F179*GOOGLEFINANCE(""CURRENCY:USDKRW"")"),159.77335000000002)</f>
        <v>159.77335</v>
      </c>
    </row>
    <row r="180">
      <c r="A180" s="150">
        <v>2024.0</v>
      </c>
      <c r="B180" s="150">
        <v>7.0</v>
      </c>
      <c r="C180" s="150">
        <v>16.0</v>
      </c>
      <c r="D180" s="150" t="s">
        <v>43</v>
      </c>
      <c r="F180" s="151">
        <v>11.18</v>
      </c>
      <c r="G180" s="150" t="s">
        <v>12</v>
      </c>
      <c r="H180" s="151">
        <v>0.263</v>
      </c>
      <c r="I180" s="150" t="s">
        <v>112</v>
      </c>
      <c r="J180" s="150" t="s">
        <v>111</v>
      </c>
      <c r="K180" s="109" t="s">
        <v>113</v>
      </c>
      <c r="L180" s="134">
        <f>IFERROR(__xludf.DUMMYFUNCTION("F180*GOOGLEFINANCE(""CURRENCY:USDKRW"")"),16238.7823)</f>
        <v>16238.7823</v>
      </c>
    </row>
    <row r="181">
      <c r="A181" s="150">
        <v>2024.0</v>
      </c>
      <c r="B181" s="150">
        <v>8.0</v>
      </c>
      <c r="C181" s="150">
        <v>1.0</v>
      </c>
      <c r="D181" s="150" t="s">
        <v>203</v>
      </c>
      <c r="F181" s="160">
        <v>4.49</v>
      </c>
      <c r="G181" s="150" t="s">
        <v>12</v>
      </c>
      <c r="H181" s="148"/>
      <c r="I181" s="150" t="s">
        <v>121</v>
      </c>
      <c r="J181" s="150" t="s">
        <v>111</v>
      </c>
      <c r="K181" s="109" t="s">
        <v>113</v>
      </c>
      <c r="L181" s="134">
        <f>IFERROR(__xludf.DUMMYFUNCTION("F181*GOOGLEFINANCE(""CURRENCY:USDKRW"")"),6521.657650000001)</f>
        <v>6521.65765</v>
      </c>
    </row>
    <row r="182">
      <c r="A182" s="150">
        <v>2024.0</v>
      </c>
      <c r="B182" s="150">
        <v>8.0</v>
      </c>
      <c r="C182" s="150">
        <v>2.0</v>
      </c>
      <c r="D182" s="150" t="s">
        <v>151</v>
      </c>
      <c r="F182" s="151">
        <v>5.98</v>
      </c>
      <c r="G182" s="150" t="s">
        <v>12</v>
      </c>
      <c r="H182" s="151">
        <v>1.719</v>
      </c>
      <c r="I182" s="150" t="s">
        <v>112</v>
      </c>
      <c r="J182" s="150" t="s">
        <v>111</v>
      </c>
      <c r="K182" s="109" t="s">
        <v>113</v>
      </c>
      <c r="L182" s="134">
        <f>IFERROR(__xludf.DUMMYFUNCTION("F182*GOOGLEFINANCE(""CURRENCY:USDKRW"")"),8685.860300000002)</f>
        <v>8685.8603</v>
      </c>
    </row>
    <row r="183">
      <c r="A183" s="150">
        <v>2024.0</v>
      </c>
      <c r="B183" s="150">
        <v>8.0</v>
      </c>
      <c r="C183" s="150">
        <v>27.0</v>
      </c>
      <c r="D183" s="150" t="s">
        <v>149</v>
      </c>
      <c r="F183" s="161">
        <v>3.8</v>
      </c>
      <c r="G183" s="150" t="s">
        <v>12</v>
      </c>
      <c r="H183" s="161">
        <v>0.56</v>
      </c>
      <c r="I183" s="150" t="s">
        <v>112</v>
      </c>
      <c r="J183" s="150" t="s">
        <v>111</v>
      </c>
      <c r="K183" s="109" t="s">
        <v>113</v>
      </c>
      <c r="L183" s="134">
        <f>IFERROR(__xludf.DUMMYFUNCTION("F183*GOOGLEFINANCE(""CURRENCY:USDKRW"")"),5519.443)</f>
        <v>5519.443</v>
      </c>
    </row>
    <row r="184">
      <c r="A184" s="150">
        <v>2024.0</v>
      </c>
      <c r="B184" s="150">
        <v>12.0</v>
      </c>
      <c r="C184" s="150">
        <v>17.0</v>
      </c>
      <c r="D184" s="150" t="s">
        <v>43</v>
      </c>
      <c r="F184" s="160">
        <v>11.2</v>
      </c>
      <c r="G184" s="150" t="s">
        <v>12</v>
      </c>
      <c r="H184" s="148"/>
      <c r="I184" s="150" t="s">
        <v>112</v>
      </c>
      <c r="J184" s="150" t="s">
        <v>111</v>
      </c>
      <c r="K184" s="109" t="s">
        <v>113</v>
      </c>
      <c r="L184" s="134"/>
    </row>
    <row r="185">
      <c r="A185" s="150">
        <v>2024.0</v>
      </c>
      <c r="B185" s="150">
        <v>12.0</v>
      </c>
      <c r="C185" s="150">
        <v>14.0</v>
      </c>
      <c r="D185" s="150" t="s">
        <v>41</v>
      </c>
      <c r="F185" s="160">
        <v>6.34</v>
      </c>
      <c r="G185" s="150" t="s">
        <v>12</v>
      </c>
      <c r="H185" s="148"/>
      <c r="I185" s="150" t="s">
        <v>112</v>
      </c>
      <c r="J185" s="150" t="s">
        <v>111</v>
      </c>
      <c r="K185" s="109" t="s">
        <v>113</v>
      </c>
      <c r="L185" s="134"/>
    </row>
    <row r="186">
      <c r="A186" s="150">
        <v>2024.0</v>
      </c>
      <c r="B186" s="150">
        <v>12.0</v>
      </c>
      <c r="C186" s="150">
        <v>5.0</v>
      </c>
      <c r="D186" s="150" t="s">
        <v>85</v>
      </c>
      <c r="F186" s="150">
        <v>28.55</v>
      </c>
      <c r="G186" s="148"/>
      <c r="H186" s="148"/>
      <c r="I186" s="150" t="s">
        <v>112</v>
      </c>
      <c r="J186" s="150" t="s">
        <v>111</v>
      </c>
      <c r="K186" s="109" t="s">
        <v>113</v>
      </c>
      <c r="L186" s="134"/>
    </row>
    <row r="187">
      <c r="A187" s="150">
        <v>2024.0</v>
      </c>
      <c r="B187" s="150">
        <v>12.0</v>
      </c>
      <c r="C187" s="150">
        <v>3.0</v>
      </c>
      <c r="D187" s="150" t="s">
        <v>146</v>
      </c>
      <c r="F187" s="160">
        <v>4.66</v>
      </c>
      <c r="G187" s="150" t="s">
        <v>12</v>
      </c>
      <c r="H187" s="148"/>
      <c r="I187" s="150" t="s">
        <v>112</v>
      </c>
      <c r="J187" s="150" t="s">
        <v>111</v>
      </c>
      <c r="K187" s="109" t="s">
        <v>113</v>
      </c>
      <c r="L187" s="134">
        <f>IFERROR(__xludf.DUMMYFUNCTION("F187*GOOGLEFINANCE(""CURRENCY:USDKRW"")"),6768.580100000001)</f>
        <v>6768.5801</v>
      </c>
    </row>
    <row r="188">
      <c r="A188" s="150">
        <v>2024.0</v>
      </c>
      <c r="B188" s="150">
        <v>11.0</v>
      </c>
      <c r="C188" s="150">
        <v>26.0</v>
      </c>
      <c r="D188" s="150" t="s">
        <v>149</v>
      </c>
      <c r="F188" s="160">
        <v>3.81</v>
      </c>
      <c r="G188" s="150" t="s">
        <v>12</v>
      </c>
      <c r="H188" s="148"/>
      <c r="I188" s="150" t="s">
        <v>112</v>
      </c>
      <c r="J188" s="150" t="s">
        <v>111</v>
      </c>
      <c r="K188" s="109" t="s">
        <v>113</v>
      </c>
      <c r="L188" s="134">
        <f>IFERROR(__xludf.DUMMYFUNCTION("F188*GOOGLEFINANCE(""CURRENCY:USDKRW"")"),5533.967850000001)</f>
        <v>5533.96785</v>
      </c>
    </row>
    <row r="189">
      <c r="A189" s="150">
        <v>2024.0</v>
      </c>
      <c r="B189" s="150">
        <v>11.0</v>
      </c>
      <c r="C189" s="150">
        <v>16.0</v>
      </c>
      <c r="D189" s="150" t="s">
        <v>43</v>
      </c>
      <c r="F189" s="160">
        <v>11.2</v>
      </c>
      <c r="G189" s="150" t="s">
        <v>12</v>
      </c>
      <c r="H189" s="148"/>
      <c r="I189" s="150" t="s">
        <v>112</v>
      </c>
      <c r="J189" s="150" t="s">
        <v>111</v>
      </c>
      <c r="K189" s="109" t="s">
        <v>113</v>
      </c>
      <c r="L189" s="134">
        <f>IFERROR(__xludf.DUMMYFUNCTION("F189*GOOGLEFINANCE(""CURRENCY:USDKRW"")"),16267.832)</f>
        <v>16267.832</v>
      </c>
    </row>
    <row r="190">
      <c r="A190" s="150">
        <v>2024.0</v>
      </c>
      <c r="B190" s="150">
        <v>11.0</v>
      </c>
      <c r="C190" s="150">
        <v>15.0</v>
      </c>
      <c r="D190" s="150" t="s">
        <v>150</v>
      </c>
      <c r="F190" s="150">
        <v>4.03</v>
      </c>
      <c r="G190" s="148"/>
      <c r="H190" s="148"/>
      <c r="I190" s="150" t="s">
        <v>112</v>
      </c>
      <c r="J190" s="150" t="s">
        <v>111</v>
      </c>
      <c r="K190" s="109" t="s">
        <v>113</v>
      </c>
      <c r="L190" s="134"/>
    </row>
    <row r="191">
      <c r="A191" s="150">
        <v>2024.0</v>
      </c>
      <c r="B191" s="150">
        <v>11.0</v>
      </c>
      <c r="C191" s="150">
        <v>9.0</v>
      </c>
      <c r="D191" s="150" t="s">
        <v>204</v>
      </c>
      <c r="F191" s="160">
        <v>1.4</v>
      </c>
      <c r="G191" s="150" t="s">
        <v>12</v>
      </c>
      <c r="H191" s="148"/>
      <c r="I191" s="150" t="s">
        <v>112</v>
      </c>
      <c r="J191" s="150" t="s">
        <v>111</v>
      </c>
      <c r="K191" s="109" t="s">
        <v>113</v>
      </c>
      <c r="L191" s="134"/>
    </row>
    <row r="192">
      <c r="A192" s="150">
        <v>2024.0</v>
      </c>
      <c r="B192" s="150">
        <v>11.0</v>
      </c>
      <c r="C192" s="150">
        <v>4.0</v>
      </c>
      <c r="D192" s="150" t="s">
        <v>147</v>
      </c>
      <c r="F192" s="152">
        <v>9540.0</v>
      </c>
      <c r="G192" s="150" t="s">
        <v>7</v>
      </c>
      <c r="H192" s="148"/>
      <c r="I192" s="150" t="s">
        <v>112</v>
      </c>
      <c r="J192" s="150" t="s">
        <v>123</v>
      </c>
      <c r="K192" s="109" t="s">
        <v>113</v>
      </c>
      <c r="L192" s="134"/>
    </row>
    <row r="193">
      <c r="A193" s="150">
        <v>2024.0</v>
      </c>
      <c r="B193" s="150">
        <v>11.0</v>
      </c>
      <c r="C193" s="150">
        <v>4.0</v>
      </c>
      <c r="D193" s="150" t="s">
        <v>205</v>
      </c>
      <c r="F193" s="152">
        <v>5580.0</v>
      </c>
      <c r="G193" s="148"/>
      <c r="H193" s="148"/>
      <c r="I193" s="150" t="s">
        <v>112</v>
      </c>
      <c r="J193" s="150" t="s">
        <v>123</v>
      </c>
      <c r="K193" s="109" t="s">
        <v>113</v>
      </c>
      <c r="L193" s="134"/>
    </row>
    <row r="194">
      <c r="A194" s="150">
        <v>2024.0</v>
      </c>
      <c r="B194" s="150">
        <v>11.0</v>
      </c>
      <c r="C194" s="150">
        <v>4.0</v>
      </c>
      <c r="D194" s="150" t="s">
        <v>53</v>
      </c>
      <c r="F194" s="152">
        <v>1890.0</v>
      </c>
      <c r="G194" s="150" t="s">
        <v>7</v>
      </c>
      <c r="H194" s="148"/>
      <c r="I194" s="150" t="s">
        <v>112</v>
      </c>
      <c r="J194" s="150" t="s">
        <v>123</v>
      </c>
      <c r="K194" s="109" t="s">
        <v>113</v>
      </c>
      <c r="L194" s="134"/>
    </row>
    <row r="195">
      <c r="A195" s="150">
        <v>2024.0</v>
      </c>
      <c r="B195" s="150">
        <v>11.0</v>
      </c>
      <c r="C195" s="150">
        <v>1.0</v>
      </c>
      <c r="D195" s="150" t="s">
        <v>151</v>
      </c>
      <c r="F195" s="160">
        <v>5.94</v>
      </c>
      <c r="G195" s="150" t="s">
        <v>12</v>
      </c>
      <c r="H195" s="148"/>
      <c r="I195" s="150" t="s">
        <v>112</v>
      </c>
      <c r="J195" s="150" t="s">
        <v>111</v>
      </c>
      <c r="K195" s="109" t="s">
        <v>113</v>
      </c>
      <c r="L195" s="134">
        <f>IFERROR(__xludf.DUMMYFUNCTION("F195*GOOGLEFINANCE(""CURRENCY:USDKRW"")"),8627.760900000001)</f>
        <v>8627.7609</v>
      </c>
    </row>
    <row r="196">
      <c r="A196" s="150">
        <v>2024.0</v>
      </c>
      <c r="B196" s="150">
        <v>10.0</v>
      </c>
      <c r="C196" s="150">
        <v>16.0</v>
      </c>
      <c r="D196" s="150" t="s">
        <v>43</v>
      </c>
      <c r="F196" s="160">
        <v>11.2</v>
      </c>
      <c r="G196" s="150" t="s">
        <v>12</v>
      </c>
      <c r="H196" s="148"/>
      <c r="I196" s="150" t="s">
        <v>112</v>
      </c>
      <c r="J196" s="150" t="s">
        <v>111</v>
      </c>
      <c r="K196" s="109" t="s">
        <v>113</v>
      </c>
      <c r="L196" s="134">
        <f>IFERROR(__xludf.DUMMYFUNCTION("F196*GOOGLEFINANCE(""CURRENCY:USDKRW"")"),16267.832)</f>
        <v>16267.832</v>
      </c>
    </row>
    <row r="197">
      <c r="A197" s="150">
        <v>2024.0</v>
      </c>
      <c r="B197" s="150">
        <v>10.0</v>
      </c>
      <c r="C197" s="150">
        <v>12.0</v>
      </c>
      <c r="D197" s="150" t="s">
        <v>206</v>
      </c>
      <c r="F197" s="150">
        <v>2.47</v>
      </c>
      <c r="G197" s="148"/>
      <c r="H197" s="148"/>
      <c r="I197" s="150" t="s">
        <v>112</v>
      </c>
      <c r="J197" s="150" t="s">
        <v>111</v>
      </c>
      <c r="K197" s="109" t="s">
        <v>113</v>
      </c>
      <c r="L197" s="134"/>
    </row>
    <row r="198">
      <c r="A198" s="150">
        <v>2024.0</v>
      </c>
      <c r="B198" s="150">
        <v>10.0</v>
      </c>
      <c r="C198" s="150">
        <v>5.0</v>
      </c>
      <c r="D198" s="150" t="s">
        <v>63</v>
      </c>
      <c r="F198" s="160">
        <v>44.94</v>
      </c>
      <c r="G198" s="150" t="s">
        <v>12</v>
      </c>
      <c r="H198" s="148"/>
      <c r="I198" s="150" t="s">
        <v>112</v>
      </c>
      <c r="J198" s="150" t="s">
        <v>111</v>
      </c>
      <c r="K198" s="109" t="s">
        <v>113</v>
      </c>
      <c r="L198" s="134">
        <f>IFERROR(__xludf.DUMMYFUNCTION("F198*GOOGLEFINANCE(""CURRENCY:USDKRW"")"),65274.6759)</f>
        <v>65274.6759</v>
      </c>
    </row>
    <row r="199">
      <c r="A199" s="150">
        <v>2024.0</v>
      </c>
      <c r="B199" s="150">
        <v>10.0</v>
      </c>
      <c r="C199" s="150">
        <v>4.0</v>
      </c>
      <c r="D199" s="150" t="s">
        <v>147</v>
      </c>
      <c r="F199" s="152">
        <v>7155.0</v>
      </c>
      <c r="G199" s="150" t="s">
        <v>7</v>
      </c>
      <c r="H199" s="148"/>
      <c r="I199" s="150" t="s">
        <v>112</v>
      </c>
      <c r="J199" s="150" t="s">
        <v>123</v>
      </c>
      <c r="K199" s="109" t="s">
        <v>113</v>
      </c>
      <c r="L199" s="134"/>
    </row>
    <row r="200">
      <c r="A200" s="150">
        <v>2024.0</v>
      </c>
      <c r="B200" s="150">
        <v>10.0</v>
      </c>
      <c r="C200" s="150">
        <v>3.0</v>
      </c>
      <c r="D200" s="150" t="s">
        <v>152</v>
      </c>
      <c r="F200" s="160">
        <v>5.7</v>
      </c>
      <c r="G200" s="150" t="s">
        <v>12</v>
      </c>
      <c r="H200" s="148"/>
      <c r="I200" s="150" t="s">
        <v>112</v>
      </c>
      <c r="J200" s="150" t="s">
        <v>111</v>
      </c>
      <c r="K200" s="109" t="s">
        <v>113</v>
      </c>
      <c r="L200" s="134">
        <f>IFERROR(__xludf.DUMMYFUNCTION("F200*GOOGLEFINANCE(""CURRENCY:USDKRW"")"),8279.1645)</f>
        <v>8279.1645</v>
      </c>
    </row>
    <row r="201">
      <c r="A201" s="150">
        <v>2024.0</v>
      </c>
      <c r="B201" s="150">
        <v>10.0</v>
      </c>
      <c r="C201" s="150">
        <v>3.0</v>
      </c>
      <c r="D201" s="150" t="s">
        <v>46</v>
      </c>
      <c r="F201" s="160">
        <v>1.39</v>
      </c>
      <c r="G201" s="150" t="s">
        <v>12</v>
      </c>
      <c r="H201" s="148"/>
      <c r="I201" s="150" t="s">
        <v>112</v>
      </c>
      <c r="J201" s="150" t="s">
        <v>111</v>
      </c>
      <c r="K201" s="109" t="s">
        <v>113</v>
      </c>
      <c r="L201" s="134">
        <f>IFERROR(__xludf.DUMMYFUNCTION("F201*GOOGLEFINANCE(""CURRENCY:USDKRW"")"),2018.95415)</f>
        <v>2018.95415</v>
      </c>
    </row>
    <row r="202">
      <c r="A202" s="150">
        <v>2024.0</v>
      </c>
      <c r="B202" s="150">
        <v>10.0</v>
      </c>
      <c r="C202" s="150">
        <v>3.0</v>
      </c>
      <c r="D202" s="150" t="s">
        <v>173</v>
      </c>
      <c r="F202" s="150">
        <v>0.63</v>
      </c>
      <c r="G202" s="148"/>
      <c r="H202" s="148"/>
      <c r="I202" s="150" t="s">
        <v>112</v>
      </c>
      <c r="J202" s="150" t="s">
        <v>111</v>
      </c>
      <c r="K202" s="109" t="s">
        <v>113</v>
      </c>
      <c r="L202" s="134"/>
    </row>
    <row r="203">
      <c r="A203" s="150">
        <v>2024.0</v>
      </c>
      <c r="B203" s="150">
        <v>10.0</v>
      </c>
      <c r="C203" s="150">
        <v>1.0</v>
      </c>
      <c r="D203" s="150" t="s">
        <v>73</v>
      </c>
      <c r="F203" s="160">
        <v>1.41</v>
      </c>
      <c r="G203" s="150" t="s">
        <v>12</v>
      </c>
      <c r="H203" s="148"/>
      <c r="I203" s="150" t="s">
        <v>112</v>
      </c>
      <c r="J203" s="150" t="s">
        <v>111</v>
      </c>
      <c r="K203" s="109" t="s">
        <v>113</v>
      </c>
      <c r="L203" s="134">
        <f>IFERROR(__xludf.DUMMYFUNCTION("F203*GOOGLEFINANCE(""CURRENCY:USDKRW"")"),2048.00385)</f>
        <v>2048.00385</v>
      </c>
    </row>
    <row r="204">
      <c r="A204" s="150">
        <v>2024.0</v>
      </c>
      <c r="B204" s="150">
        <v>9.0</v>
      </c>
      <c r="C204" s="150">
        <v>25.0</v>
      </c>
      <c r="D204" s="150" t="s">
        <v>71</v>
      </c>
      <c r="F204" s="160">
        <v>20.26</v>
      </c>
      <c r="G204" s="150" t="s">
        <v>12</v>
      </c>
      <c r="H204" s="148"/>
      <c r="I204" s="150" t="s">
        <v>112</v>
      </c>
      <c r="J204" s="150" t="s">
        <v>111</v>
      </c>
      <c r="K204" s="109" t="s">
        <v>113</v>
      </c>
      <c r="L204" s="134">
        <f>IFERROR(__xludf.DUMMYFUNCTION("F204*GOOGLEFINANCE(""CURRENCY:USDKRW"")"),29427.346100000006)</f>
        <v>29427.3461</v>
      </c>
    </row>
    <row r="205">
      <c r="A205" s="150">
        <v>2025.0</v>
      </c>
      <c r="B205" s="150">
        <v>6.0</v>
      </c>
      <c r="C205" s="150">
        <v>14.0</v>
      </c>
      <c r="D205" s="150" t="s">
        <v>43</v>
      </c>
      <c r="F205" s="160">
        <v>11.41</v>
      </c>
      <c r="G205" s="150" t="s">
        <v>12</v>
      </c>
      <c r="H205" s="161">
        <v>0.2685</v>
      </c>
      <c r="I205" s="150" t="s">
        <v>112</v>
      </c>
      <c r="J205" s="150" t="s">
        <v>111</v>
      </c>
      <c r="K205" s="109" t="s">
        <v>113</v>
      </c>
      <c r="L205" s="134">
        <f>IFERROR(__xludf.DUMMYFUNCTION("F205*GOOGLEFINANCE(""CURRENCY:USDKRW"")"),16572.853850000003)</f>
        <v>16572.85385</v>
      </c>
    </row>
    <row r="206">
      <c r="A206" s="150">
        <v>2025.0</v>
      </c>
      <c r="B206" s="150">
        <v>7.0</v>
      </c>
      <c r="C206" s="150">
        <v>17.0</v>
      </c>
      <c r="D206" s="150" t="s">
        <v>43</v>
      </c>
      <c r="F206" s="160">
        <v>11.44</v>
      </c>
      <c r="G206" s="150" t="s">
        <v>12</v>
      </c>
      <c r="H206" s="161">
        <v>0.2685</v>
      </c>
      <c r="I206" s="150" t="s">
        <v>112</v>
      </c>
      <c r="J206" s="150" t="s">
        <v>111</v>
      </c>
      <c r="K206" s="109" t="s">
        <v>113</v>
      </c>
      <c r="L206" s="134">
        <f>IFERROR(__xludf.DUMMYFUNCTION("F206*GOOGLEFINANCE(""CURRENCY:USDKRW"")"),16616.4284)</f>
        <v>16616.4284</v>
      </c>
    </row>
    <row r="207">
      <c r="A207" s="150">
        <v>2025.0</v>
      </c>
      <c r="B207" s="150">
        <v>7.0</v>
      </c>
      <c r="C207" s="150">
        <v>12.0</v>
      </c>
      <c r="D207" s="150" t="s">
        <v>206</v>
      </c>
      <c r="F207" s="161">
        <v>3.09</v>
      </c>
      <c r="G207" s="150" t="s">
        <v>12</v>
      </c>
      <c r="H207" s="161">
        <v>0.78</v>
      </c>
      <c r="I207" s="150" t="s">
        <v>112</v>
      </c>
      <c r="J207" s="150" t="s">
        <v>111</v>
      </c>
      <c r="K207" s="109" t="s">
        <v>113</v>
      </c>
      <c r="L207" s="134">
        <f>IFERROR(__xludf.DUMMYFUNCTION("F207*GOOGLEFINANCE(""CURRENCY:USDKRW"")"),4488.17865)</f>
        <v>4488.17865</v>
      </c>
    </row>
    <row r="208">
      <c r="A208" s="150">
        <v>2025.0</v>
      </c>
      <c r="B208" s="150">
        <v>7.0</v>
      </c>
      <c r="C208" s="150">
        <v>4.0</v>
      </c>
      <c r="D208" s="150" t="s">
        <v>46</v>
      </c>
      <c r="F208" s="160">
        <v>1.48</v>
      </c>
      <c r="G208" s="150" t="s">
        <v>12</v>
      </c>
      <c r="H208" s="161">
        <v>1.7447</v>
      </c>
      <c r="I208" s="150" t="s">
        <v>112</v>
      </c>
      <c r="J208" s="150" t="s">
        <v>111</v>
      </c>
      <c r="K208" s="109" t="s">
        <v>113</v>
      </c>
      <c r="L208" s="134">
        <f>IFERROR(__xludf.DUMMYFUNCTION("F208*GOOGLEFINANCE(""CURRENCY:USDKRW"")"),2149.6778000000004)</f>
        <v>2149.6778</v>
      </c>
    </row>
    <row r="209">
      <c r="A209" s="150">
        <v>2025.0</v>
      </c>
      <c r="B209" s="150">
        <v>7.0</v>
      </c>
      <c r="C209" s="150">
        <v>2.0</v>
      </c>
      <c r="D209" s="150" t="s">
        <v>63</v>
      </c>
      <c r="F209" s="160">
        <v>47.68</v>
      </c>
      <c r="G209" s="150" t="s">
        <v>12</v>
      </c>
      <c r="H209" s="161">
        <v>0.51</v>
      </c>
      <c r="I209" s="150" t="s">
        <v>112</v>
      </c>
      <c r="J209" s="150" t="s">
        <v>111</v>
      </c>
      <c r="K209" s="109" t="s">
        <v>113</v>
      </c>
      <c r="L209" s="134">
        <f>IFERROR(__xludf.DUMMYFUNCTION("F209*GOOGLEFINANCE(""CURRENCY:USDKRW"")"),69254.4848)</f>
        <v>69254.4848</v>
      </c>
    </row>
    <row r="210">
      <c r="A210" s="150">
        <v>2025.0</v>
      </c>
      <c r="B210" s="150">
        <v>6.0</v>
      </c>
      <c r="C210" s="150">
        <v>25.0</v>
      </c>
      <c r="D210" s="150" t="s">
        <v>71</v>
      </c>
      <c r="F210" s="160">
        <v>22.71</v>
      </c>
      <c r="G210" s="150" t="s">
        <v>12</v>
      </c>
      <c r="H210" s="161">
        <v>0.8617</v>
      </c>
      <c r="I210" s="150" t="s">
        <v>112</v>
      </c>
      <c r="J210" s="150" t="s">
        <v>111</v>
      </c>
      <c r="K210" s="109" t="s">
        <v>113</v>
      </c>
      <c r="L210" s="134">
        <f>IFERROR(__xludf.DUMMYFUNCTION("F210*GOOGLEFINANCE(""CURRENCY:USDKRW"")"),32985.93435)</f>
        <v>32985.93435</v>
      </c>
    </row>
    <row r="211">
      <c r="A211" s="150">
        <v>2025.0</v>
      </c>
      <c r="B211" s="150">
        <v>6.0</v>
      </c>
      <c r="C211" s="150">
        <v>24.0</v>
      </c>
      <c r="D211" s="150" t="s">
        <v>207</v>
      </c>
      <c r="F211" s="161">
        <v>4.76</v>
      </c>
      <c r="G211" s="150" t="s">
        <v>12</v>
      </c>
      <c r="H211" s="161">
        <v>1.866967</v>
      </c>
      <c r="I211" s="150" t="s">
        <v>112</v>
      </c>
      <c r="J211" s="150" t="s">
        <v>111</v>
      </c>
      <c r="K211" s="109" t="s">
        <v>113</v>
      </c>
      <c r="L211" s="134">
        <f>IFERROR(__xludf.DUMMYFUNCTION("F211*GOOGLEFINANCE(""CURRENCY:USDKRW"")"),6913.828600000001)</f>
        <v>6913.8286</v>
      </c>
    </row>
    <row r="212">
      <c r="A212" s="150">
        <v>2025.0</v>
      </c>
      <c r="B212" s="150">
        <v>8.0</v>
      </c>
      <c r="C212" s="150">
        <v>1.0</v>
      </c>
      <c r="D212" s="150" t="s">
        <v>203</v>
      </c>
      <c r="F212" s="160">
        <v>4.49</v>
      </c>
      <c r="G212" s="150" t="s">
        <v>12</v>
      </c>
      <c r="H212" s="148"/>
      <c r="I212" s="150" t="s">
        <v>121</v>
      </c>
      <c r="J212" s="150" t="s">
        <v>111</v>
      </c>
      <c r="K212" s="109" t="s">
        <v>113</v>
      </c>
      <c r="L212" s="134">
        <f>IFERROR(__xludf.DUMMYFUNCTION("F212*GOOGLEFINANCE(""CURRENCY:USDKRW"")"),6521.657650000001)</f>
        <v>6521.65765</v>
      </c>
    </row>
    <row r="213">
      <c r="A213" s="148"/>
      <c r="B213" s="148"/>
      <c r="C213" s="148"/>
      <c r="D213" s="148"/>
      <c r="F213" s="148"/>
      <c r="G213" s="148"/>
      <c r="H213" s="148"/>
      <c r="I213" s="148"/>
      <c r="J213" s="148"/>
      <c r="L213" s="134"/>
    </row>
    <row r="214">
      <c r="A214" s="148"/>
      <c r="B214" s="148"/>
      <c r="C214" s="148"/>
      <c r="D214" s="148"/>
      <c r="F214" s="148"/>
      <c r="G214" s="148"/>
      <c r="H214" s="148"/>
      <c r="I214" s="148"/>
      <c r="J214" s="148"/>
      <c r="L214" s="134"/>
    </row>
    <row r="215">
      <c r="A215" s="148"/>
      <c r="B215" s="148"/>
      <c r="C215" s="148"/>
      <c r="D215" s="148"/>
      <c r="F215" s="148"/>
      <c r="G215" s="148"/>
      <c r="H215" s="148"/>
      <c r="I215" s="148"/>
      <c r="J215" s="148"/>
      <c r="L215" s="134"/>
    </row>
    <row r="216">
      <c r="A216" s="148"/>
      <c r="B216" s="148"/>
      <c r="C216" s="148"/>
      <c r="D216" s="148"/>
      <c r="F216" s="148"/>
      <c r="G216" s="148"/>
      <c r="H216" s="148"/>
      <c r="I216" s="148"/>
      <c r="J216" s="148"/>
      <c r="L216" s="134"/>
    </row>
    <row r="217">
      <c r="A217" s="148"/>
      <c r="B217" s="148"/>
      <c r="C217" s="148"/>
      <c r="D217" s="148"/>
      <c r="F217" s="148"/>
      <c r="G217" s="148"/>
      <c r="H217" s="148"/>
      <c r="I217" s="148"/>
      <c r="J217" s="148"/>
      <c r="L217" s="134"/>
    </row>
    <row r="218">
      <c r="A218" s="148"/>
      <c r="B218" s="148"/>
      <c r="C218" s="148"/>
      <c r="D218" s="148"/>
      <c r="F218" s="148"/>
      <c r="G218" s="148"/>
      <c r="H218" s="148"/>
      <c r="I218" s="148"/>
      <c r="J218" s="148"/>
      <c r="L218" s="134"/>
    </row>
    <row r="219">
      <c r="A219" s="148"/>
      <c r="B219" s="148"/>
      <c r="C219" s="148"/>
      <c r="D219" s="148"/>
      <c r="F219" s="148"/>
      <c r="G219" s="148"/>
      <c r="H219" s="148"/>
      <c r="I219" s="148"/>
      <c r="J219" s="148"/>
      <c r="L219" s="134"/>
    </row>
    <row r="220">
      <c r="A220" s="148"/>
      <c r="B220" s="148"/>
      <c r="C220" s="148"/>
      <c r="D220" s="148"/>
      <c r="F220" s="148"/>
      <c r="G220" s="148"/>
      <c r="H220" s="148"/>
      <c r="I220" s="148"/>
      <c r="J220" s="148"/>
      <c r="L220" s="134"/>
    </row>
    <row r="221">
      <c r="A221" s="148"/>
      <c r="B221" s="148"/>
      <c r="C221" s="148"/>
      <c r="D221" s="148"/>
      <c r="F221" s="148"/>
      <c r="G221" s="148"/>
      <c r="H221" s="148"/>
      <c r="I221" s="148"/>
      <c r="J221" s="148"/>
      <c r="L221" s="134"/>
    </row>
    <row r="222">
      <c r="A222" s="148"/>
      <c r="B222" s="148"/>
      <c r="C222" s="148"/>
      <c r="D222" s="148"/>
      <c r="F222" s="148"/>
      <c r="G222" s="148"/>
      <c r="H222" s="148"/>
      <c r="I222" s="148"/>
      <c r="J222" s="148"/>
      <c r="L222" s="134"/>
    </row>
    <row r="223">
      <c r="A223" s="148"/>
      <c r="B223" s="148"/>
      <c r="C223" s="148"/>
      <c r="D223" s="148"/>
      <c r="F223" s="148"/>
      <c r="G223" s="148"/>
      <c r="H223" s="148"/>
      <c r="I223" s="148"/>
      <c r="J223" s="148"/>
      <c r="L223" s="134"/>
    </row>
    <row r="224">
      <c r="A224" s="148"/>
      <c r="B224" s="148"/>
      <c r="C224" s="148"/>
      <c r="D224" s="148"/>
      <c r="F224" s="148"/>
      <c r="G224" s="148"/>
      <c r="H224" s="148"/>
      <c r="I224" s="148"/>
      <c r="J224" s="148"/>
      <c r="L224" s="134"/>
    </row>
    <row r="225">
      <c r="A225" s="148"/>
      <c r="B225" s="148"/>
      <c r="C225" s="148"/>
      <c r="D225" s="148"/>
      <c r="F225" s="148"/>
      <c r="G225" s="148"/>
      <c r="H225" s="148"/>
      <c r="I225" s="148"/>
      <c r="J225" s="148"/>
      <c r="L225" s="134"/>
    </row>
    <row r="226">
      <c r="A226" s="148"/>
      <c r="B226" s="148"/>
      <c r="C226" s="148"/>
      <c r="D226" s="148"/>
      <c r="F226" s="148"/>
      <c r="G226" s="148"/>
      <c r="H226" s="148"/>
      <c r="I226" s="148"/>
      <c r="J226" s="148"/>
      <c r="L226" s="134"/>
    </row>
    <row r="227">
      <c r="A227" s="148"/>
      <c r="B227" s="148"/>
      <c r="C227" s="148"/>
      <c r="D227" s="148"/>
      <c r="F227" s="148"/>
      <c r="G227" s="148"/>
      <c r="H227" s="148"/>
      <c r="I227" s="148"/>
      <c r="J227" s="148"/>
      <c r="L227" s="134"/>
    </row>
    <row r="228">
      <c r="A228" s="148"/>
      <c r="B228" s="148"/>
      <c r="C228" s="148"/>
      <c r="D228" s="148"/>
      <c r="F228" s="148"/>
      <c r="G228" s="148"/>
      <c r="H228" s="148"/>
      <c r="I228" s="148"/>
      <c r="J228" s="148"/>
      <c r="L228" s="134"/>
    </row>
    <row r="229">
      <c r="A229" s="148"/>
      <c r="B229" s="148"/>
      <c r="C229" s="148"/>
      <c r="D229" s="148"/>
      <c r="F229" s="148"/>
      <c r="G229" s="148"/>
      <c r="H229" s="148"/>
      <c r="I229" s="148"/>
      <c r="J229" s="148"/>
      <c r="L229" s="134"/>
    </row>
    <row r="230">
      <c r="A230" s="148"/>
      <c r="B230" s="148"/>
      <c r="C230" s="148"/>
      <c r="D230" s="148"/>
      <c r="F230" s="148"/>
      <c r="G230" s="148"/>
      <c r="H230" s="148"/>
      <c r="I230" s="148"/>
      <c r="J230" s="148"/>
      <c r="L230" s="134"/>
    </row>
    <row r="231">
      <c r="A231" s="148"/>
      <c r="B231" s="148"/>
      <c r="C231" s="148"/>
      <c r="D231" s="148"/>
      <c r="F231" s="148"/>
      <c r="G231" s="148"/>
      <c r="H231" s="148"/>
      <c r="I231" s="148"/>
      <c r="J231" s="148"/>
      <c r="L231" s="134"/>
    </row>
    <row r="232">
      <c r="A232" s="148"/>
      <c r="B232" s="148"/>
      <c r="C232" s="148"/>
      <c r="D232" s="148"/>
      <c r="F232" s="148"/>
      <c r="G232" s="148"/>
      <c r="H232" s="148"/>
      <c r="I232" s="148"/>
      <c r="J232" s="148"/>
      <c r="L232" s="134"/>
    </row>
    <row r="233">
      <c r="A233" s="148"/>
      <c r="B233" s="148"/>
      <c r="C233" s="148"/>
      <c r="D233" s="148"/>
      <c r="F233" s="148"/>
      <c r="G233" s="148"/>
      <c r="H233" s="148"/>
      <c r="I233" s="148"/>
      <c r="J233" s="148"/>
      <c r="L233" s="134"/>
    </row>
    <row r="234">
      <c r="A234" s="148"/>
      <c r="B234" s="148"/>
      <c r="C234" s="148"/>
      <c r="D234" s="148"/>
      <c r="F234" s="148"/>
      <c r="G234" s="148"/>
      <c r="H234" s="148"/>
      <c r="I234" s="148"/>
      <c r="J234" s="148"/>
      <c r="L234" s="134"/>
    </row>
    <row r="235">
      <c r="A235" s="148"/>
      <c r="B235" s="148"/>
      <c r="C235" s="148"/>
      <c r="D235" s="148"/>
      <c r="F235" s="148"/>
      <c r="G235" s="148"/>
      <c r="H235" s="148"/>
      <c r="I235" s="148"/>
      <c r="J235" s="148"/>
      <c r="L235" s="134"/>
    </row>
    <row r="236">
      <c r="A236" s="148"/>
      <c r="B236" s="148"/>
      <c r="C236" s="148"/>
      <c r="D236" s="148"/>
      <c r="F236" s="148"/>
      <c r="G236" s="148"/>
      <c r="H236" s="148"/>
      <c r="I236" s="148"/>
      <c r="J236" s="148"/>
      <c r="L236" s="134"/>
    </row>
    <row r="237">
      <c r="A237" s="148"/>
      <c r="B237" s="148"/>
      <c r="C237" s="148"/>
      <c r="D237" s="148"/>
      <c r="F237" s="148"/>
      <c r="G237" s="148"/>
      <c r="H237" s="148"/>
      <c r="I237" s="148"/>
      <c r="J237" s="148"/>
      <c r="L237" s="134"/>
    </row>
    <row r="238">
      <c r="A238" s="148"/>
      <c r="B238" s="148"/>
      <c r="C238" s="148"/>
      <c r="D238" s="148"/>
      <c r="F238" s="148"/>
      <c r="G238" s="148"/>
      <c r="H238" s="148"/>
      <c r="I238" s="148"/>
      <c r="J238" s="148"/>
      <c r="L238" s="134"/>
    </row>
    <row r="239">
      <c r="A239" s="148"/>
      <c r="B239" s="148"/>
      <c r="C239" s="148"/>
      <c r="D239" s="148"/>
      <c r="F239" s="148"/>
      <c r="G239" s="148"/>
      <c r="H239" s="148"/>
      <c r="I239" s="148"/>
      <c r="J239" s="148"/>
      <c r="L239" s="134"/>
    </row>
    <row r="240">
      <c r="A240" s="148"/>
      <c r="B240" s="148"/>
      <c r="C240" s="148"/>
      <c r="D240" s="148"/>
      <c r="F240" s="148"/>
      <c r="G240" s="148"/>
      <c r="H240" s="148"/>
      <c r="I240" s="148"/>
      <c r="J240" s="148"/>
      <c r="L240" s="134"/>
    </row>
    <row r="241">
      <c r="A241" s="148"/>
      <c r="B241" s="148"/>
      <c r="C241" s="148"/>
      <c r="D241" s="148"/>
      <c r="F241" s="148"/>
      <c r="G241" s="148"/>
      <c r="H241" s="148"/>
      <c r="I241" s="148"/>
      <c r="J241" s="148"/>
      <c r="L241" s="134"/>
    </row>
    <row r="242">
      <c r="A242" s="148"/>
      <c r="B242" s="148"/>
      <c r="C242" s="148"/>
      <c r="D242" s="148"/>
      <c r="F242" s="148"/>
      <c r="G242" s="148"/>
      <c r="H242" s="148"/>
      <c r="I242" s="148"/>
      <c r="J242" s="148"/>
      <c r="L242" s="134"/>
    </row>
    <row r="243">
      <c r="A243" s="148"/>
      <c r="B243" s="148"/>
      <c r="C243" s="148"/>
      <c r="D243" s="148"/>
      <c r="F243" s="148"/>
      <c r="G243" s="148"/>
      <c r="H243" s="148"/>
      <c r="I243" s="148"/>
      <c r="J243" s="148"/>
      <c r="L243" s="134"/>
    </row>
    <row r="244">
      <c r="A244" s="148"/>
      <c r="B244" s="148"/>
      <c r="C244" s="148"/>
      <c r="D244" s="148"/>
      <c r="F244" s="148"/>
      <c r="G244" s="148"/>
      <c r="H244" s="148"/>
      <c r="I244" s="148"/>
      <c r="J244" s="148"/>
      <c r="L244" s="134"/>
    </row>
    <row r="245">
      <c r="A245" s="148"/>
      <c r="B245" s="148"/>
      <c r="C245" s="148"/>
      <c r="D245" s="148"/>
      <c r="F245" s="148"/>
      <c r="G245" s="148"/>
      <c r="H245" s="148"/>
      <c r="I245" s="148"/>
      <c r="J245" s="148"/>
      <c r="L245" s="134"/>
    </row>
    <row r="246">
      <c r="A246" s="148"/>
      <c r="B246" s="148"/>
      <c r="C246" s="148"/>
      <c r="D246" s="148"/>
      <c r="F246" s="148"/>
      <c r="G246" s="148"/>
      <c r="H246" s="148"/>
      <c r="I246" s="148"/>
      <c r="J246" s="148"/>
      <c r="L246" s="134"/>
    </row>
    <row r="247">
      <c r="A247" s="148"/>
      <c r="B247" s="148"/>
      <c r="C247" s="148"/>
      <c r="D247" s="148"/>
      <c r="F247" s="148"/>
      <c r="G247" s="148"/>
      <c r="H247" s="148"/>
      <c r="I247" s="148"/>
      <c r="J247" s="148"/>
      <c r="L247" s="134"/>
    </row>
    <row r="248">
      <c r="A248" s="148"/>
      <c r="B248" s="148"/>
      <c r="C248" s="148"/>
      <c r="D248" s="148"/>
      <c r="F248" s="148"/>
      <c r="G248" s="148"/>
      <c r="H248" s="148"/>
      <c r="I248" s="148"/>
      <c r="J248" s="148"/>
      <c r="L248" s="134"/>
    </row>
    <row r="249">
      <c r="A249" s="148"/>
      <c r="B249" s="148"/>
      <c r="C249" s="148"/>
      <c r="D249" s="148"/>
      <c r="F249" s="148"/>
      <c r="G249" s="148"/>
      <c r="H249" s="148"/>
      <c r="I249" s="148"/>
      <c r="J249" s="148"/>
      <c r="L249" s="134"/>
    </row>
    <row r="250">
      <c r="A250" s="148"/>
      <c r="B250" s="148"/>
      <c r="C250" s="148"/>
      <c r="D250" s="148"/>
      <c r="F250" s="148"/>
      <c r="G250" s="148"/>
      <c r="H250" s="148"/>
      <c r="I250" s="148"/>
      <c r="J250" s="148"/>
      <c r="L250" s="134"/>
    </row>
    <row r="251">
      <c r="A251" s="148"/>
      <c r="B251" s="148"/>
      <c r="C251" s="148"/>
      <c r="D251" s="148"/>
      <c r="F251" s="148"/>
      <c r="G251" s="148"/>
      <c r="H251" s="148"/>
      <c r="I251" s="148"/>
      <c r="J251" s="148"/>
      <c r="L251" s="134"/>
    </row>
    <row r="252">
      <c r="A252" s="148"/>
      <c r="B252" s="148"/>
      <c r="C252" s="148"/>
      <c r="D252" s="148"/>
      <c r="F252" s="148"/>
      <c r="G252" s="148"/>
      <c r="H252" s="148"/>
      <c r="I252" s="148"/>
      <c r="J252" s="148"/>
      <c r="L252" s="134"/>
    </row>
    <row r="253">
      <c r="A253" s="148"/>
      <c r="B253" s="148"/>
      <c r="C253" s="148"/>
      <c r="D253" s="148"/>
      <c r="F253" s="148"/>
      <c r="G253" s="148"/>
      <c r="H253" s="148"/>
      <c r="I253" s="148"/>
      <c r="J253" s="148"/>
      <c r="L253" s="134"/>
    </row>
    <row r="254">
      <c r="A254" s="148"/>
      <c r="B254" s="148"/>
      <c r="C254" s="148"/>
      <c r="D254" s="148"/>
      <c r="F254" s="148"/>
      <c r="G254" s="148"/>
      <c r="H254" s="148"/>
      <c r="I254" s="148"/>
      <c r="J254" s="148"/>
      <c r="L254" s="134"/>
    </row>
    <row r="255">
      <c r="A255" s="148"/>
      <c r="B255" s="148"/>
      <c r="C255" s="148"/>
      <c r="D255" s="148"/>
      <c r="F255" s="148"/>
      <c r="G255" s="148"/>
      <c r="H255" s="148"/>
      <c r="I255" s="148"/>
      <c r="J255" s="148"/>
      <c r="L255" s="134"/>
    </row>
    <row r="256">
      <c r="A256" s="148"/>
      <c r="B256" s="148"/>
      <c r="C256" s="148"/>
      <c r="D256" s="148"/>
      <c r="F256" s="148"/>
      <c r="G256" s="148"/>
      <c r="H256" s="148"/>
      <c r="I256" s="148"/>
      <c r="J256" s="148"/>
      <c r="L256" s="134"/>
    </row>
    <row r="257">
      <c r="A257" s="148"/>
      <c r="B257" s="148"/>
      <c r="C257" s="148"/>
      <c r="D257" s="148"/>
      <c r="F257" s="148"/>
      <c r="G257" s="148"/>
      <c r="H257" s="148"/>
      <c r="I257" s="148"/>
      <c r="J257" s="148"/>
      <c r="L257" s="134"/>
    </row>
    <row r="258">
      <c r="A258" s="148"/>
      <c r="B258" s="148"/>
      <c r="C258" s="148"/>
      <c r="D258" s="148"/>
      <c r="F258" s="148"/>
      <c r="G258" s="148"/>
      <c r="H258" s="148"/>
      <c r="I258" s="148"/>
      <c r="J258" s="148"/>
      <c r="L258" s="134"/>
    </row>
    <row r="259">
      <c r="A259" s="148"/>
      <c r="B259" s="148"/>
      <c r="C259" s="148"/>
      <c r="D259" s="148"/>
      <c r="F259" s="148"/>
      <c r="G259" s="148"/>
      <c r="H259" s="148"/>
      <c r="I259" s="148"/>
      <c r="J259" s="148"/>
      <c r="L259" s="134"/>
    </row>
    <row r="260">
      <c r="A260" s="148"/>
      <c r="B260" s="148"/>
      <c r="C260" s="148"/>
      <c r="D260" s="148"/>
      <c r="F260" s="148"/>
      <c r="G260" s="148"/>
      <c r="H260" s="148"/>
      <c r="I260" s="148"/>
      <c r="J260" s="148"/>
      <c r="L260" s="134"/>
    </row>
    <row r="261">
      <c r="A261" s="148"/>
      <c r="B261" s="148"/>
      <c r="C261" s="148"/>
      <c r="D261" s="148"/>
      <c r="F261" s="148"/>
      <c r="G261" s="148"/>
      <c r="H261" s="148"/>
      <c r="I261" s="148"/>
      <c r="J261" s="148"/>
      <c r="L261" s="134"/>
    </row>
    <row r="262">
      <c r="A262" s="148"/>
      <c r="B262" s="148"/>
      <c r="C262" s="148"/>
      <c r="D262" s="148"/>
      <c r="F262" s="148"/>
      <c r="G262" s="148"/>
      <c r="H262" s="148"/>
      <c r="I262" s="148"/>
      <c r="J262" s="148"/>
      <c r="L262" s="134"/>
    </row>
    <row r="263">
      <c r="A263" s="148"/>
      <c r="B263" s="148"/>
      <c r="C263" s="148"/>
      <c r="D263" s="148"/>
      <c r="F263" s="148"/>
      <c r="G263" s="148"/>
      <c r="H263" s="148"/>
      <c r="I263" s="148"/>
      <c r="J263" s="148"/>
      <c r="L263" s="134"/>
    </row>
    <row r="264">
      <c r="A264" s="148"/>
      <c r="B264" s="148"/>
      <c r="C264" s="148"/>
      <c r="D264" s="148"/>
      <c r="F264" s="148"/>
      <c r="G264" s="148"/>
      <c r="H264" s="148"/>
      <c r="I264" s="148"/>
      <c r="J264" s="148"/>
      <c r="L264" s="134"/>
    </row>
    <row r="265">
      <c r="A265" s="148"/>
      <c r="B265" s="148"/>
      <c r="C265" s="148"/>
      <c r="D265" s="148"/>
      <c r="F265" s="148"/>
      <c r="G265" s="148"/>
      <c r="H265" s="148"/>
      <c r="I265" s="148"/>
      <c r="J265" s="148"/>
      <c r="L265" s="134"/>
    </row>
    <row r="266">
      <c r="A266" s="148"/>
      <c r="B266" s="148"/>
      <c r="C266" s="148"/>
      <c r="D266" s="148"/>
      <c r="F266" s="148"/>
      <c r="G266" s="148"/>
      <c r="H266" s="148"/>
      <c r="I266" s="148"/>
      <c r="J266" s="148"/>
      <c r="L266" s="134"/>
    </row>
    <row r="267">
      <c r="A267" s="148"/>
      <c r="B267" s="148"/>
      <c r="C267" s="148"/>
      <c r="D267" s="148"/>
      <c r="F267" s="148"/>
      <c r="G267" s="148"/>
      <c r="H267" s="148"/>
      <c r="I267" s="148"/>
      <c r="J267" s="148"/>
      <c r="L267" s="134"/>
    </row>
    <row r="268">
      <c r="A268" s="148"/>
      <c r="B268" s="148"/>
      <c r="C268" s="148"/>
      <c r="D268" s="148"/>
      <c r="F268" s="148"/>
      <c r="G268" s="148"/>
      <c r="H268" s="148"/>
      <c r="I268" s="148"/>
      <c r="J268" s="148"/>
      <c r="L268" s="134"/>
    </row>
    <row r="269">
      <c r="A269" s="148"/>
      <c r="B269" s="148"/>
      <c r="C269" s="148"/>
      <c r="D269" s="148"/>
      <c r="F269" s="148"/>
      <c r="G269" s="148"/>
      <c r="H269" s="148"/>
      <c r="I269" s="148"/>
      <c r="J269" s="148"/>
      <c r="L269" s="134"/>
    </row>
    <row r="270">
      <c r="A270" s="148"/>
      <c r="B270" s="148"/>
      <c r="C270" s="148"/>
      <c r="D270" s="148"/>
      <c r="F270" s="148"/>
      <c r="G270" s="148"/>
      <c r="H270" s="148"/>
      <c r="I270" s="148"/>
      <c r="J270" s="148"/>
      <c r="L270" s="134"/>
    </row>
    <row r="271">
      <c r="A271" s="148"/>
      <c r="B271" s="148"/>
      <c r="C271" s="148"/>
      <c r="D271" s="148"/>
      <c r="F271" s="148"/>
      <c r="G271" s="148"/>
      <c r="H271" s="148"/>
      <c r="I271" s="148"/>
      <c r="J271" s="148"/>
      <c r="L271" s="134"/>
    </row>
    <row r="272">
      <c r="A272" s="148"/>
      <c r="B272" s="148"/>
      <c r="C272" s="148"/>
      <c r="D272" s="148"/>
      <c r="F272" s="148"/>
      <c r="G272" s="148"/>
      <c r="H272" s="148"/>
      <c r="I272" s="148"/>
      <c r="J272" s="148"/>
      <c r="L272" s="134"/>
    </row>
    <row r="273">
      <c r="A273" s="148"/>
      <c r="B273" s="148"/>
      <c r="C273" s="148"/>
      <c r="D273" s="148"/>
      <c r="F273" s="148"/>
      <c r="G273" s="148"/>
      <c r="H273" s="148"/>
      <c r="I273" s="148"/>
      <c r="J273" s="148"/>
      <c r="L273" s="134"/>
    </row>
    <row r="274">
      <c r="A274" s="148"/>
      <c r="B274" s="148"/>
      <c r="C274" s="148"/>
      <c r="D274" s="148"/>
      <c r="F274" s="148"/>
      <c r="G274" s="148"/>
      <c r="H274" s="148"/>
      <c r="I274" s="148"/>
      <c r="J274" s="148"/>
      <c r="L274" s="134"/>
    </row>
    <row r="275">
      <c r="A275" s="148"/>
      <c r="B275" s="148"/>
      <c r="C275" s="148"/>
      <c r="D275" s="148"/>
      <c r="F275" s="148"/>
      <c r="G275" s="148"/>
      <c r="H275" s="148"/>
      <c r="I275" s="148"/>
      <c r="J275" s="148"/>
      <c r="L275" s="134"/>
    </row>
    <row r="276">
      <c r="A276" s="148"/>
      <c r="B276" s="148"/>
      <c r="C276" s="148"/>
      <c r="D276" s="148"/>
      <c r="F276" s="148"/>
      <c r="G276" s="148"/>
      <c r="H276" s="148"/>
      <c r="I276" s="148"/>
      <c r="J276" s="148"/>
      <c r="L276" s="134"/>
    </row>
    <row r="277">
      <c r="A277" s="148"/>
      <c r="B277" s="148"/>
      <c r="C277" s="148"/>
      <c r="D277" s="148"/>
      <c r="F277" s="148"/>
      <c r="G277" s="148"/>
      <c r="H277" s="148"/>
      <c r="I277" s="148"/>
      <c r="J277" s="148"/>
      <c r="L277" s="134"/>
    </row>
    <row r="278">
      <c r="A278" s="148"/>
      <c r="B278" s="148"/>
      <c r="C278" s="148"/>
      <c r="D278" s="148"/>
      <c r="F278" s="148"/>
      <c r="G278" s="148"/>
      <c r="H278" s="148"/>
      <c r="I278" s="148"/>
      <c r="J278" s="148"/>
      <c r="L278" s="134"/>
    </row>
    <row r="279">
      <c r="A279" s="148"/>
      <c r="B279" s="148"/>
      <c r="C279" s="148"/>
      <c r="D279" s="148"/>
      <c r="F279" s="148"/>
      <c r="G279" s="148"/>
      <c r="H279" s="148"/>
      <c r="I279" s="148"/>
      <c r="J279" s="148"/>
      <c r="L279" s="134"/>
    </row>
    <row r="280">
      <c r="A280" s="148"/>
      <c r="B280" s="148"/>
      <c r="C280" s="148"/>
      <c r="D280" s="148"/>
      <c r="F280" s="148"/>
      <c r="G280" s="148"/>
      <c r="H280" s="148"/>
      <c r="I280" s="148"/>
      <c r="J280" s="148"/>
      <c r="L280" s="134"/>
    </row>
    <row r="281">
      <c r="A281" s="148"/>
      <c r="B281" s="148"/>
      <c r="C281" s="148"/>
      <c r="D281" s="148"/>
      <c r="F281" s="148"/>
      <c r="G281" s="148"/>
      <c r="H281" s="148"/>
      <c r="I281" s="148"/>
      <c r="J281" s="148"/>
      <c r="L281" s="134"/>
    </row>
    <row r="282">
      <c r="A282" s="148"/>
      <c r="B282" s="148"/>
      <c r="C282" s="148"/>
      <c r="D282" s="148"/>
      <c r="F282" s="148"/>
      <c r="G282" s="148"/>
      <c r="H282" s="148"/>
      <c r="I282" s="148"/>
      <c r="J282" s="148"/>
      <c r="L282" s="134"/>
    </row>
    <row r="283">
      <c r="A283" s="148"/>
      <c r="B283" s="148"/>
      <c r="C283" s="148"/>
      <c r="D283" s="148"/>
      <c r="F283" s="148"/>
      <c r="G283" s="148"/>
      <c r="H283" s="148"/>
      <c r="I283" s="148"/>
      <c r="J283" s="148"/>
      <c r="L283" s="134"/>
    </row>
    <row r="284">
      <c r="A284" s="148"/>
      <c r="B284" s="148"/>
      <c r="C284" s="148"/>
      <c r="D284" s="148"/>
      <c r="F284" s="148"/>
      <c r="G284" s="148"/>
      <c r="H284" s="148"/>
      <c r="I284" s="148"/>
      <c r="J284" s="148"/>
      <c r="L284" s="134"/>
    </row>
    <row r="285">
      <c r="A285" s="148"/>
      <c r="B285" s="148"/>
      <c r="C285" s="148"/>
      <c r="D285" s="148"/>
      <c r="F285" s="148"/>
      <c r="G285" s="148"/>
      <c r="H285" s="148"/>
      <c r="I285" s="148"/>
      <c r="J285" s="148"/>
      <c r="L285" s="134"/>
    </row>
    <row r="286">
      <c r="A286" s="148"/>
      <c r="B286" s="148"/>
      <c r="C286" s="148"/>
      <c r="D286" s="148"/>
      <c r="F286" s="148"/>
      <c r="G286" s="148"/>
      <c r="H286" s="148"/>
      <c r="I286" s="148"/>
      <c r="J286" s="148"/>
      <c r="L286" s="134"/>
    </row>
    <row r="287">
      <c r="A287" s="148"/>
      <c r="B287" s="148"/>
      <c r="C287" s="148"/>
      <c r="D287" s="148"/>
      <c r="F287" s="148"/>
      <c r="G287" s="148"/>
      <c r="H287" s="148"/>
      <c r="I287" s="148"/>
      <c r="J287" s="148"/>
      <c r="L287" s="134"/>
    </row>
    <row r="288">
      <c r="A288" s="148"/>
      <c r="B288" s="148"/>
      <c r="C288" s="148"/>
      <c r="D288" s="148"/>
      <c r="F288" s="148"/>
      <c r="G288" s="148"/>
      <c r="H288" s="148"/>
      <c r="I288" s="148"/>
      <c r="J288" s="148"/>
      <c r="L288" s="134"/>
    </row>
    <row r="289">
      <c r="A289" s="148"/>
      <c r="B289" s="148"/>
      <c r="C289" s="148"/>
      <c r="D289" s="148"/>
      <c r="F289" s="148"/>
      <c r="G289" s="148"/>
      <c r="H289" s="148"/>
      <c r="I289" s="148"/>
      <c r="J289" s="148"/>
      <c r="L289" s="134"/>
    </row>
    <row r="290">
      <c r="A290" s="148"/>
      <c r="B290" s="148"/>
      <c r="C290" s="148"/>
      <c r="D290" s="148"/>
      <c r="F290" s="148"/>
      <c r="G290" s="148"/>
      <c r="H290" s="148"/>
      <c r="I290" s="148"/>
      <c r="J290" s="148"/>
      <c r="L290" s="134"/>
    </row>
    <row r="291">
      <c r="A291" s="148"/>
      <c r="B291" s="148"/>
      <c r="C291" s="148"/>
      <c r="D291" s="148"/>
      <c r="F291" s="148"/>
      <c r="G291" s="148"/>
      <c r="H291" s="148"/>
      <c r="I291" s="148"/>
      <c r="J291" s="148"/>
      <c r="L291" s="134"/>
    </row>
    <row r="292">
      <c r="A292" s="148"/>
      <c r="B292" s="148"/>
      <c r="C292" s="148"/>
      <c r="D292" s="148"/>
      <c r="F292" s="148"/>
      <c r="G292" s="148"/>
      <c r="H292" s="148"/>
      <c r="I292" s="148"/>
      <c r="J292" s="148"/>
      <c r="L292" s="134"/>
    </row>
    <row r="293">
      <c r="A293" s="148"/>
      <c r="B293" s="148"/>
      <c r="C293" s="148"/>
      <c r="D293" s="148"/>
      <c r="F293" s="148"/>
      <c r="G293" s="148"/>
      <c r="H293" s="148"/>
      <c r="I293" s="148"/>
      <c r="J293" s="148"/>
      <c r="L293" s="134"/>
    </row>
    <row r="294">
      <c r="A294" s="148"/>
      <c r="B294" s="148"/>
      <c r="C294" s="148"/>
      <c r="D294" s="148"/>
      <c r="F294" s="148"/>
      <c r="G294" s="148"/>
      <c r="H294" s="148"/>
      <c r="I294" s="148"/>
      <c r="J294" s="148"/>
      <c r="L294" s="134"/>
    </row>
    <row r="295">
      <c r="A295" s="148"/>
      <c r="B295" s="148"/>
      <c r="C295" s="148"/>
      <c r="D295" s="148"/>
      <c r="F295" s="148"/>
      <c r="G295" s="148"/>
      <c r="H295" s="148"/>
      <c r="I295" s="148"/>
      <c r="J295" s="148"/>
      <c r="L295" s="134"/>
    </row>
    <row r="296">
      <c r="A296" s="148"/>
      <c r="B296" s="148"/>
      <c r="C296" s="148"/>
      <c r="D296" s="148"/>
      <c r="F296" s="148"/>
      <c r="G296" s="148"/>
      <c r="H296" s="148"/>
      <c r="I296" s="148"/>
      <c r="J296" s="148"/>
      <c r="L296" s="134"/>
    </row>
    <row r="297">
      <c r="A297" s="148"/>
      <c r="B297" s="148"/>
      <c r="C297" s="148"/>
      <c r="D297" s="148"/>
      <c r="F297" s="148"/>
      <c r="G297" s="148"/>
      <c r="H297" s="148"/>
      <c r="I297" s="148"/>
      <c r="J297" s="148"/>
      <c r="L297" s="134"/>
    </row>
    <row r="298">
      <c r="A298" s="148"/>
      <c r="B298" s="148"/>
      <c r="C298" s="148"/>
      <c r="D298" s="148"/>
      <c r="F298" s="148"/>
      <c r="G298" s="148"/>
      <c r="H298" s="148"/>
      <c r="I298" s="148"/>
      <c r="J298" s="148"/>
      <c r="L298" s="134"/>
    </row>
    <row r="299">
      <c r="A299" s="148"/>
      <c r="B299" s="148"/>
      <c r="C299" s="148"/>
      <c r="D299" s="148"/>
      <c r="F299" s="148"/>
      <c r="G299" s="148"/>
      <c r="H299" s="148"/>
      <c r="I299" s="148"/>
      <c r="J299" s="148"/>
      <c r="L299" s="134"/>
    </row>
    <row r="300">
      <c r="A300" s="148"/>
      <c r="B300" s="148"/>
      <c r="C300" s="148"/>
      <c r="D300" s="148"/>
      <c r="F300" s="148"/>
      <c r="G300" s="148"/>
      <c r="H300" s="148"/>
      <c r="I300" s="148"/>
      <c r="J300" s="148"/>
      <c r="L300" s="134"/>
    </row>
    <row r="301">
      <c r="A301" s="148"/>
      <c r="B301" s="148"/>
      <c r="C301" s="148"/>
      <c r="D301" s="148"/>
      <c r="F301" s="148"/>
      <c r="G301" s="148"/>
      <c r="H301" s="148"/>
      <c r="I301" s="148"/>
      <c r="J301" s="148"/>
      <c r="L301" s="134"/>
    </row>
    <row r="302">
      <c r="A302" s="148"/>
      <c r="B302" s="148"/>
      <c r="C302" s="148"/>
      <c r="D302" s="148"/>
      <c r="F302" s="148"/>
      <c r="G302" s="148"/>
      <c r="H302" s="148"/>
      <c r="I302" s="148"/>
      <c r="J302" s="148"/>
      <c r="L302" s="134"/>
    </row>
    <row r="303">
      <c r="A303" s="148"/>
      <c r="B303" s="148"/>
      <c r="C303" s="148"/>
      <c r="D303" s="148"/>
      <c r="F303" s="148"/>
      <c r="G303" s="148"/>
      <c r="H303" s="148"/>
      <c r="I303" s="148"/>
      <c r="J303" s="148"/>
      <c r="L303" s="134"/>
    </row>
    <row r="304">
      <c r="A304" s="148"/>
      <c r="B304" s="148"/>
      <c r="C304" s="148"/>
      <c r="D304" s="148"/>
      <c r="F304" s="148"/>
      <c r="G304" s="148"/>
      <c r="H304" s="148"/>
      <c r="I304" s="148"/>
      <c r="J304" s="148"/>
      <c r="L304" s="134"/>
    </row>
    <row r="305">
      <c r="A305" s="148"/>
      <c r="B305" s="148"/>
      <c r="C305" s="148"/>
      <c r="D305" s="148"/>
      <c r="F305" s="148"/>
      <c r="G305" s="148"/>
      <c r="H305" s="148"/>
      <c r="I305" s="148"/>
      <c r="J305" s="148"/>
      <c r="L305" s="134"/>
    </row>
    <row r="306">
      <c r="A306" s="148"/>
      <c r="B306" s="148"/>
      <c r="C306" s="148"/>
      <c r="D306" s="148"/>
      <c r="F306" s="148"/>
      <c r="G306" s="148"/>
      <c r="H306" s="148"/>
      <c r="I306" s="148"/>
      <c r="J306" s="148"/>
      <c r="L306" s="134"/>
    </row>
    <row r="307">
      <c r="A307" s="148"/>
      <c r="B307" s="148"/>
      <c r="C307" s="148"/>
      <c r="D307" s="148"/>
      <c r="F307" s="148"/>
      <c r="G307" s="148"/>
      <c r="H307" s="148"/>
      <c r="I307" s="148"/>
      <c r="J307" s="148"/>
      <c r="L307" s="134"/>
    </row>
    <row r="308">
      <c r="A308" s="148"/>
      <c r="B308" s="148"/>
      <c r="C308" s="148"/>
      <c r="D308" s="148"/>
      <c r="F308" s="148"/>
      <c r="G308" s="148"/>
      <c r="H308" s="148"/>
      <c r="I308" s="148"/>
      <c r="J308" s="148"/>
      <c r="L308" s="134"/>
    </row>
    <row r="309">
      <c r="A309" s="148"/>
      <c r="B309" s="148"/>
      <c r="C309" s="148"/>
      <c r="D309" s="148"/>
      <c r="F309" s="148"/>
      <c r="G309" s="148"/>
      <c r="H309" s="148"/>
      <c r="I309" s="148"/>
      <c r="J309" s="148"/>
      <c r="L309" s="134"/>
    </row>
    <row r="310">
      <c r="A310" s="148"/>
      <c r="B310" s="148"/>
      <c r="C310" s="148"/>
      <c r="D310" s="148"/>
      <c r="F310" s="148"/>
      <c r="G310" s="148"/>
      <c r="H310" s="148"/>
      <c r="I310" s="148"/>
      <c r="J310" s="148"/>
      <c r="L310" s="134"/>
    </row>
    <row r="311">
      <c r="A311" s="148"/>
      <c r="B311" s="148"/>
      <c r="C311" s="148"/>
      <c r="D311" s="148"/>
      <c r="F311" s="148"/>
      <c r="G311" s="148"/>
      <c r="H311" s="148"/>
      <c r="I311" s="148"/>
      <c r="J311" s="148"/>
      <c r="L311" s="134"/>
    </row>
    <row r="312">
      <c r="A312" s="148"/>
      <c r="B312" s="148"/>
      <c r="C312" s="148"/>
      <c r="D312" s="148"/>
      <c r="F312" s="148"/>
      <c r="G312" s="148"/>
      <c r="H312" s="148"/>
      <c r="I312" s="148"/>
      <c r="J312" s="148"/>
      <c r="L312" s="134"/>
    </row>
    <row r="313">
      <c r="A313" s="148"/>
      <c r="B313" s="148"/>
      <c r="C313" s="148"/>
      <c r="D313" s="148"/>
      <c r="F313" s="148"/>
      <c r="G313" s="148"/>
      <c r="H313" s="148"/>
      <c r="I313" s="148"/>
      <c r="J313" s="148"/>
      <c r="L313" s="134"/>
    </row>
    <row r="314">
      <c r="A314" s="148"/>
      <c r="B314" s="148"/>
      <c r="C314" s="148"/>
      <c r="D314" s="148"/>
      <c r="F314" s="148"/>
      <c r="G314" s="148"/>
      <c r="H314" s="148"/>
      <c r="I314" s="148"/>
      <c r="J314" s="148"/>
      <c r="L314" s="134"/>
    </row>
    <row r="315">
      <c r="A315" s="148"/>
      <c r="B315" s="148"/>
      <c r="C315" s="148"/>
      <c r="D315" s="148"/>
      <c r="F315" s="148"/>
      <c r="G315" s="148"/>
      <c r="H315" s="148"/>
      <c r="I315" s="148"/>
      <c r="J315" s="148"/>
      <c r="L315" s="134"/>
    </row>
    <row r="316">
      <c r="A316" s="148"/>
      <c r="B316" s="148"/>
      <c r="C316" s="148"/>
      <c r="D316" s="148"/>
      <c r="F316" s="148"/>
      <c r="G316" s="148"/>
      <c r="H316" s="148"/>
      <c r="I316" s="148"/>
      <c r="J316" s="148"/>
      <c r="L316" s="134"/>
    </row>
    <row r="317">
      <c r="A317" s="148"/>
      <c r="B317" s="148"/>
      <c r="C317" s="148"/>
      <c r="D317" s="148"/>
      <c r="F317" s="148"/>
      <c r="G317" s="148"/>
      <c r="H317" s="148"/>
      <c r="I317" s="148"/>
      <c r="J317" s="148"/>
      <c r="L317" s="134"/>
    </row>
    <row r="318">
      <c r="A318" s="148"/>
      <c r="B318" s="148"/>
      <c r="C318" s="148"/>
      <c r="D318" s="148"/>
      <c r="F318" s="148"/>
      <c r="G318" s="148"/>
      <c r="H318" s="148"/>
      <c r="I318" s="148"/>
      <c r="J318" s="148"/>
      <c r="L318" s="134"/>
    </row>
    <row r="319">
      <c r="A319" s="148"/>
      <c r="B319" s="148"/>
      <c r="C319" s="148"/>
      <c r="D319" s="148"/>
      <c r="F319" s="148"/>
      <c r="G319" s="148"/>
      <c r="H319" s="148"/>
      <c r="I319" s="148"/>
      <c r="J319" s="148"/>
      <c r="L319" s="134"/>
    </row>
    <row r="320">
      <c r="A320" s="148"/>
      <c r="B320" s="148"/>
      <c r="C320" s="148"/>
      <c r="D320" s="148"/>
      <c r="F320" s="148"/>
      <c r="G320" s="148"/>
      <c r="H320" s="148"/>
      <c r="I320" s="148"/>
      <c r="J320" s="148"/>
      <c r="L320" s="134"/>
    </row>
    <row r="321">
      <c r="A321" s="148"/>
      <c r="B321" s="148"/>
      <c r="C321" s="148"/>
      <c r="D321" s="148"/>
      <c r="F321" s="148"/>
      <c r="G321" s="148"/>
      <c r="H321" s="148"/>
      <c r="I321" s="148"/>
      <c r="J321" s="148"/>
      <c r="L321" s="134"/>
    </row>
    <row r="322">
      <c r="A322" s="148"/>
      <c r="B322" s="148"/>
      <c r="C322" s="148"/>
      <c r="D322" s="148"/>
      <c r="F322" s="148"/>
      <c r="G322" s="148"/>
      <c r="H322" s="148"/>
      <c r="I322" s="148"/>
      <c r="J322" s="148"/>
      <c r="L322" s="134"/>
    </row>
    <row r="323">
      <c r="A323" s="148"/>
      <c r="B323" s="148"/>
      <c r="C323" s="148"/>
      <c r="D323" s="148"/>
      <c r="F323" s="148"/>
      <c r="G323" s="148"/>
      <c r="H323" s="148"/>
      <c r="I323" s="148"/>
      <c r="J323" s="148"/>
      <c r="L323" s="134"/>
    </row>
    <row r="324">
      <c r="A324" s="148"/>
      <c r="B324" s="148"/>
      <c r="C324" s="148"/>
      <c r="D324" s="148"/>
      <c r="F324" s="148"/>
      <c r="G324" s="148"/>
      <c r="H324" s="148"/>
      <c r="I324" s="148"/>
      <c r="J324" s="148"/>
      <c r="L324" s="134"/>
    </row>
    <row r="325">
      <c r="A325" s="148"/>
      <c r="B325" s="148"/>
      <c r="C325" s="148"/>
      <c r="D325" s="148"/>
      <c r="F325" s="148"/>
      <c r="G325" s="148"/>
      <c r="H325" s="148"/>
      <c r="I325" s="148"/>
      <c r="J325" s="148"/>
      <c r="L325" s="134"/>
    </row>
    <row r="326">
      <c r="A326" s="148"/>
      <c r="B326" s="148"/>
      <c r="C326" s="148"/>
      <c r="D326" s="148"/>
      <c r="F326" s="148"/>
      <c r="G326" s="148"/>
      <c r="H326" s="148"/>
      <c r="I326" s="148"/>
      <c r="J326" s="148"/>
      <c r="L326" s="134"/>
    </row>
    <row r="327">
      <c r="A327" s="148"/>
      <c r="B327" s="148"/>
      <c r="C327" s="148"/>
      <c r="D327" s="148"/>
      <c r="F327" s="148"/>
      <c r="G327" s="148"/>
      <c r="H327" s="148"/>
      <c r="I327" s="148"/>
      <c r="J327" s="148"/>
      <c r="L327" s="134"/>
    </row>
    <row r="328">
      <c r="A328" s="148"/>
      <c r="B328" s="148"/>
      <c r="C328" s="148"/>
      <c r="D328" s="148"/>
      <c r="F328" s="148"/>
      <c r="G328" s="148"/>
      <c r="H328" s="148"/>
      <c r="I328" s="148"/>
      <c r="J328" s="148"/>
      <c r="L328" s="134"/>
    </row>
    <row r="329">
      <c r="A329" s="148"/>
      <c r="B329" s="148"/>
      <c r="C329" s="148"/>
      <c r="D329" s="148"/>
      <c r="F329" s="148"/>
      <c r="G329" s="148"/>
      <c r="H329" s="148"/>
      <c r="I329" s="148"/>
      <c r="J329" s="148"/>
      <c r="L329" s="134"/>
    </row>
    <row r="330">
      <c r="A330" s="148"/>
      <c r="B330" s="148"/>
      <c r="C330" s="148"/>
      <c r="D330" s="148"/>
      <c r="F330" s="148"/>
      <c r="G330" s="148"/>
      <c r="H330" s="148"/>
      <c r="I330" s="148"/>
      <c r="J330" s="148"/>
      <c r="L330" s="134"/>
    </row>
    <row r="331">
      <c r="A331" s="148"/>
      <c r="B331" s="148"/>
      <c r="C331" s="148"/>
      <c r="D331" s="148"/>
      <c r="F331" s="148"/>
      <c r="G331" s="148"/>
      <c r="H331" s="148"/>
      <c r="I331" s="148"/>
      <c r="J331" s="148"/>
      <c r="L331" s="134"/>
    </row>
    <row r="332">
      <c r="A332" s="148"/>
      <c r="B332" s="148"/>
      <c r="C332" s="148"/>
      <c r="D332" s="148"/>
      <c r="F332" s="148"/>
      <c r="G332" s="148"/>
      <c r="H332" s="148"/>
      <c r="I332" s="148"/>
      <c r="J332" s="148"/>
      <c r="L332" s="134"/>
    </row>
    <row r="333">
      <c r="A333" s="148"/>
      <c r="B333" s="148"/>
      <c r="C333" s="148"/>
      <c r="D333" s="148"/>
      <c r="F333" s="148"/>
      <c r="G333" s="148"/>
      <c r="H333" s="148"/>
      <c r="I333" s="148"/>
      <c r="J333" s="148"/>
      <c r="L333" s="134"/>
    </row>
    <row r="334">
      <c r="A334" s="148"/>
      <c r="B334" s="148"/>
      <c r="C334" s="148"/>
      <c r="D334" s="148"/>
      <c r="F334" s="148"/>
      <c r="G334" s="148"/>
      <c r="H334" s="148"/>
      <c r="I334" s="148"/>
      <c r="J334" s="148"/>
      <c r="L334" s="134"/>
    </row>
    <row r="335">
      <c r="A335" s="148"/>
      <c r="B335" s="148"/>
      <c r="C335" s="148"/>
      <c r="D335" s="148"/>
      <c r="F335" s="148"/>
      <c r="G335" s="148"/>
      <c r="H335" s="148"/>
      <c r="I335" s="148"/>
      <c r="J335" s="148"/>
      <c r="L335" s="134"/>
    </row>
    <row r="336">
      <c r="A336" s="148"/>
      <c r="B336" s="148"/>
      <c r="C336" s="148"/>
      <c r="D336" s="148"/>
      <c r="F336" s="148"/>
      <c r="G336" s="148"/>
      <c r="H336" s="148"/>
      <c r="I336" s="148"/>
      <c r="J336" s="148"/>
      <c r="L336" s="134"/>
    </row>
    <row r="337">
      <c r="A337" s="148"/>
      <c r="B337" s="148"/>
      <c r="C337" s="148"/>
      <c r="D337" s="148"/>
      <c r="F337" s="148"/>
      <c r="G337" s="148"/>
      <c r="H337" s="148"/>
      <c r="I337" s="148"/>
      <c r="J337" s="148"/>
      <c r="L337" s="134"/>
    </row>
    <row r="338">
      <c r="A338" s="148"/>
      <c r="B338" s="148"/>
      <c r="C338" s="148"/>
      <c r="D338" s="148"/>
      <c r="F338" s="148"/>
      <c r="G338" s="148"/>
      <c r="H338" s="148"/>
      <c r="I338" s="148"/>
      <c r="J338" s="148"/>
      <c r="L338" s="134"/>
    </row>
    <row r="339">
      <c r="A339" s="148"/>
      <c r="B339" s="148"/>
      <c r="C339" s="148"/>
      <c r="D339" s="148"/>
      <c r="F339" s="148"/>
      <c r="G339" s="148"/>
      <c r="H339" s="148"/>
      <c r="I339" s="148"/>
      <c r="J339" s="148"/>
      <c r="L339" s="134"/>
    </row>
    <row r="340">
      <c r="A340" s="148"/>
      <c r="B340" s="148"/>
      <c r="C340" s="148"/>
      <c r="D340" s="148"/>
      <c r="F340" s="148"/>
      <c r="G340" s="148"/>
      <c r="H340" s="148"/>
      <c r="I340" s="148"/>
      <c r="J340" s="148"/>
      <c r="L340" s="134"/>
    </row>
    <row r="341">
      <c r="A341" s="148"/>
      <c r="B341" s="148"/>
      <c r="C341" s="148"/>
      <c r="D341" s="148"/>
      <c r="F341" s="148"/>
      <c r="G341" s="148"/>
      <c r="H341" s="148"/>
      <c r="I341" s="148"/>
      <c r="J341" s="148"/>
      <c r="L341" s="134"/>
    </row>
    <row r="342">
      <c r="A342" s="148"/>
      <c r="B342" s="148"/>
      <c r="C342" s="148"/>
      <c r="D342" s="148"/>
      <c r="F342" s="148"/>
      <c r="G342" s="148"/>
      <c r="H342" s="148"/>
      <c r="I342" s="148"/>
      <c r="J342" s="148"/>
      <c r="L342" s="134"/>
    </row>
    <row r="343">
      <c r="A343" s="148"/>
      <c r="B343" s="148"/>
      <c r="C343" s="148"/>
      <c r="D343" s="148"/>
      <c r="F343" s="148"/>
      <c r="G343" s="148"/>
      <c r="H343" s="148"/>
      <c r="I343" s="148"/>
      <c r="J343" s="148"/>
      <c r="L343" s="134"/>
    </row>
    <row r="344">
      <c r="A344" s="148"/>
      <c r="B344" s="148"/>
      <c r="C344" s="148"/>
      <c r="D344" s="148"/>
      <c r="F344" s="148"/>
      <c r="G344" s="148"/>
      <c r="H344" s="148"/>
      <c r="I344" s="148"/>
      <c r="J344" s="148"/>
      <c r="L344" s="134"/>
    </row>
    <row r="345">
      <c r="A345" s="148"/>
      <c r="B345" s="148"/>
      <c r="C345" s="148"/>
      <c r="D345" s="148"/>
      <c r="F345" s="148"/>
      <c r="G345" s="148"/>
      <c r="H345" s="148"/>
      <c r="I345" s="148"/>
      <c r="J345" s="148"/>
      <c r="L345" s="134"/>
    </row>
    <row r="346">
      <c r="A346" s="148"/>
      <c r="B346" s="148"/>
      <c r="C346" s="148"/>
      <c r="D346" s="148"/>
      <c r="F346" s="148"/>
      <c r="G346" s="148"/>
      <c r="H346" s="148"/>
      <c r="I346" s="148"/>
      <c r="J346" s="148"/>
      <c r="L346" s="134"/>
    </row>
    <row r="347">
      <c r="A347" s="148"/>
      <c r="B347" s="148"/>
      <c r="C347" s="148"/>
      <c r="D347" s="148"/>
      <c r="F347" s="148"/>
      <c r="G347" s="148"/>
      <c r="H347" s="148"/>
      <c r="I347" s="148"/>
      <c r="J347" s="148"/>
      <c r="L347" s="134"/>
    </row>
    <row r="348">
      <c r="A348" s="148"/>
      <c r="B348" s="148"/>
      <c r="C348" s="148"/>
      <c r="D348" s="148"/>
      <c r="F348" s="148"/>
      <c r="G348" s="148"/>
      <c r="H348" s="148"/>
      <c r="I348" s="148"/>
      <c r="J348" s="148"/>
      <c r="L348" s="134"/>
    </row>
    <row r="349">
      <c r="A349" s="148"/>
      <c r="B349" s="148"/>
      <c r="C349" s="148"/>
      <c r="D349" s="148"/>
      <c r="F349" s="148"/>
      <c r="G349" s="148"/>
      <c r="H349" s="148"/>
      <c r="I349" s="148"/>
      <c r="J349" s="148"/>
      <c r="L349" s="134"/>
    </row>
    <row r="350">
      <c r="A350" s="148"/>
      <c r="B350" s="148"/>
      <c r="C350" s="148"/>
      <c r="D350" s="148"/>
      <c r="F350" s="148"/>
      <c r="G350" s="148"/>
      <c r="H350" s="148"/>
      <c r="I350" s="148"/>
      <c r="J350" s="148"/>
      <c r="L350" s="134"/>
    </row>
    <row r="351">
      <c r="A351" s="148"/>
      <c r="B351" s="148"/>
      <c r="C351" s="148"/>
      <c r="D351" s="148"/>
      <c r="F351" s="148"/>
      <c r="G351" s="148"/>
      <c r="H351" s="148"/>
      <c r="I351" s="148"/>
      <c r="J351" s="148"/>
      <c r="L351" s="134"/>
    </row>
    <row r="352">
      <c r="A352" s="148"/>
      <c r="B352" s="148"/>
      <c r="C352" s="148"/>
      <c r="D352" s="148"/>
      <c r="F352" s="148"/>
      <c r="G352" s="148"/>
      <c r="H352" s="148"/>
      <c r="I352" s="148"/>
      <c r="J352" s="148"/>
      <c r="L352" s="134"/>
    </row>
    <row r="353">
      <c r="A353" s="148"/>
      <c r="B353" s="148"/>
      <c r="C353" s="148"/>
      <c r="D353" s="148"/>
      <c r="F353" s="148"/>
      <c r="G353" s="148"/>
      <c r="H353" s="148"/>
      <c r="I353" s="148"/>
      <c r="J353" s="148"/>
      <c r="L353" s="134"/>
    </row>
    <row r="354">
      <c r="A354" s="148"/>
      <c r="B354" s="148"/>
      <c r="C354" s="148"/>
      <c r="D354" s="148"/>
      <c r="F354" s="148"/>
      <c r="G354" s="148"/>
      <c r="H354" s="148"/>
      <c r="I354" s="148"/>
      <c r="J354" s="148"/>
      <c r="L354" s="134"/>
    </row>
    <row r="355">
      <c r="A355" s="148"/>
      <c r="B355" s="148"/>
      <c r="C355" s="148"/>
      <c r="D355" s="148"/>
      <c r="F355" s="148"/>
      <c r="G355" s="148"/>
      <c r="H355" s="148"/>
      <c r="I355" s="148"/>
      <c r="J355" s="148"/>
      <c r="L355" s="134"/>
    </row>
    <row r="356">
      <c r="A356" s="148"/>
      <c r="B356" s="148"/>
      <c r="C356" s="148"/>
      <c r="D356" s="148"/>
      <c r="F356" s="148"/>
      <c r="G356" s="148"/>
      <c r="H356" s="148"/>
      <c r="I356" s="148"/>
      <c r="J356" s="148"/>
      <c r="L356" s="134"/>
    </row>
    <row r="357">
      <c r="A357" s="148"/>
      <c r="B357" s="148"/>
      <c r="C357" s="148"/>
      <c r="D357" s="148"/>
      <c r="F357" s="148"/>
      <c r="G357" s="148"/>
      <c r="H357" s="148"/>
      <c r="I357" s="148"/>
      <c r="J357" s="148"/>
      <c r="L357" s="134"/>
    </row>
    <row r="358">
      <c r="A358" s="148"/>
      <c r="B358" s="148"/>
      <c r="C358" s="148"/>
      <c r="D358" s="148"/>
      <c r="F358" s="148"/>
      <c r="G358" s="148"/>
      <c r="H358" s="148"/>
      <c r="I358" s="148"/>
      <c r="J358" s="148"/>
      <c r="L358" s="134"/>
    </row>
    <row r="359">
      <c r="A359" s="148"/>
      <c r="B359" s="148"/>
      <c r="C359" s="148"/>
      <c r="D359" s="148"/>
      <c r="F359" s="148"/>
      <c r="G359" s="148"/>
      <c r="H359" s="148"/>
      <c r="I359" s="148"/>
      <c r="J359" s="148"/>
      <c r="L359" s="134"/>
    </row>
    <row r="360">
      <c r="A360" s="148"/>
      <c r="B360" s="148"/>
      <c r="C360" s="148"/>
      <c r="D360" s="148"/>
      <c r="F360" s="148"/>
      <c r="G360" s="148"/>
      <c r="H360" s="148"/>
      <c r="I360" s="148"/>
      <c r="J360" s="148"/>
      <c r="L360" s="134"/>
    </row>
    <row r="361">
      <c r="A361" s="148"/>
      <c r="B361" s="148"/>
      <c r="C361" s="148"/>
      <c r="D361" s="148"/>
      <c r="F361" s="148"/>
      <c r="G361" s="148"/>
      <c r="H361" s="148"/>
      <c r="I361" s="148"/>
      <c r="J361" s="148"/>
      <c r="L361" s="134"/>
    </row>
    <row r="362">
      <c r="A362" s="148"/>
      <c r="B362" s="148"/>
      <c r="C362" s="148"/>
      <c r="D362" s="148"/>
      <c r="F362" s="148"/>
      <c r="G362" s="148"/>
      <c r="H362" s="148"/>
      <c r="I362" s="148"/>
      <c r="J362" s="148"/>
      <c r="L362" s="134"/>
    </row>
    <row r="363">
      <c r="A363" s="148"/>
      <c r="B363" s="148"/>
      <c r="C363" s="148"/>
      <c r="D363" s="148"/>
      <c r="F363" s="148"/>
      <c r="G363" s="148"/>
      <c r="H363" s="148"/>
      <c r="I363" s="148"/>
      <c r="J363" s="148"/>
      <c r="L363" s="134"/>
    </row>
    <row r="364">
      <c r="A364" s="148"/>
      <c r="B364" s="148"/>
      <c r="C364" s="148"/>
      <c r="D364" s="148"/>
      <c r="F364" s="148"/>
      <c r="G364" s="148"/>
      <c r="H364" s="148"/>
      <c r="I364" s="148"/>
      <c r="J364" s="148"/>
      <c r="L364" s="134"/>
    </row>
    <row r="365">
      <c r="A365" s="148"/>
      <c r="B365" s="148"/>
      <c r="C365" s="148"/>
      <c r="D365" s="148"/>
      <c r="F365" s="148"/>
      <c r="G365" s="148"/>
      <c r="H365" s="148"/>
      <c r="I365" s="148"/>
      <c r="J365" s="148"/>
      <c r="L365" s="134"/>
    </row>
    <row r="366">
      <c r="A366" s="148"/>
      <c r="B366" s="148"/>
      <c r="C366" s="148"/>
      <c r="D366" s="148"/>
      <c r="F366" s="148"/>
      <c r="G366" s="148"/>
      <c r="H366" s="148"/>
      <c r="I366" s="148"/>
      <c r="J366" s="148"/>
      <c r="L366" s="134"/>
    </row>
    <row r="367">
      <c r="A367" s="148"/>
      <c r="B367" s="148"/>
      <c r="C367" s="148"/>
      <c r="D367" s="148"/>
      <c r="F367" s="148"/>
      <c r="G367" s="148"/>
      <c r="H367" s="148"/>
      <c r="I367" s="148"/>
      <c r="J367" s="148"/>
      <c r="L367" s="134"/>
    </row>
    <row r="368">
      <c r="A368" s="148"/>
      <c r="B368" s="148"/>
      <c r="C368" s="148"/>
      <c r="D368" s="148"/>
      <c r="F368" s="148"/>
      <c r="G368" s="148"/>
      <c r="H368" s="148"/>
      <c r="I368" s="148"/>
      <c r="J368" s="148"/>
      <c r="L368" s="134"/>
    </row>
    <row r="369">
      <c r="A369" s="148"/>
      <c r="B369" s="148"/>
      <c r="C369" s="148"/>
      <c r="D369" s="148"/>
      <c r="F369" s="148"/>
      <c r="G369" s="148"/>
      <c r="H369" s="148"/>
      <c r="I369" s="148"/>
      <c r="J369" s="148"/>
      <c r="L369" s="134"/>
    </row>
    <row r="370">
      <c r="A370" s="148"/>
      <c r="B370" s="148"/>
      <c r="C370" s="148"/>
      <c r="D370" s="148"/>
      <c r="F370" s="148"/>
      <c r="G370" s="148"/>
      <c r="H370" s="148"/>
      <c r="I370" s="148"/>
      <c r="J370" s="148"/>
      <c r="L370" s="134"/>
    </row>
    <row r="371">
      <c r="A371" s="148"/>
      <c r="B371" s="148"/>
      <c r="C371" s="148"/>
      <c r="D371" s="148"/>
      <c r="F371" s="148"/>
      <c r="G371" s="148"/>
      <c r="H371" s="148"/>
      <c r="I371" s="148"/>
      <c r="J371" s="148"/>
      <c r="L371" s="134"/>
    </row>
    <row r="372">
      <c r="A372" s="148"/>
      <c r="B372" s="148"/>
      <c r="C372" s="148"/>
      <c r="D372" s="148"/>
      <c r="F372" s="148"/>
      <c r="G372" s="148"/>
      <c r="H372" s="148"/>
      <c r="I372" s="148"/>
      <c r="J372" s="148"/>
      <c r="L372" s="134"/>
    </row>
    <row r="373">
      <c r="A373" s="148"/>
      <c r="B373" s="148"/>
      <c r="C373" s="148"/>
      <c r="D373" s="148"/>
      <c r="F373" s="148"/>
      <c r="G373" s="148"/>
      <c r="H373" s="148"/>
      <c r="I373" s="148"/>
      <c r="J373" s="148"/>
      <c r="L373" s="134"/>
    </row>
    <row r="374">
      <c r="A374" s="148"/>
      <c r="B374" s="148"/>
      <c r="C374" s="148"/>
      <c r="D374" s="148"/>
      <c r="F374" s="148"/>
      <c r="G374" s="148"/>
      <c r="H374" s="148"/>
      <c r="I374" s="148"/>
      <c r="J374" s="148"/>
      <c r="L374" s="134"/>
    </row>
    <row r="375">
      <c r="A375" s="148"/>
      <c r="B375" s="148"/>
      <c r="C375" s="148"/>
      <c r="D375" s="148"/>
      <c r="F375" s="148"/>
      <c r="G375" s="148"/>
      <c r="H375" s="148"/>
      <c r="I375" s="148"/>
      <c r="J375" s="148"/>
      <c r="L375" s="134"/>
    </row>
    <row r="376">
      <c r="A376" s="148"/>
      <c r="B376" s="148"/>
      <c r="C376" s="148"/>
      <c r="D376" s="148"/>
      <c r="F376" s="148"/>
      <c r="G376" s="148"/>
      <c r="H376" s="148"/>
      <c r="I376" s="148"/>
      <c r="J376" s="148"/>
      <c r="L376" s="134"/>
    </row>
    <row r="377">
      <c r="A377" s="148"/>
      <c r="B377" s="148"/>
      <c r="C377" s="148"/>
      <c r="D377" s="148"/>
      <c r="F377" s="148"/>
      <c r="G377" s="148"/>
      <c r="H377" s="148"/>
      <c r="I377" s="148"/>
      <c r="J377" s="148"/>
      <c r="L377" s="134"/>
    </row>
    <row r="378">
      <c r="A378" s="148"/>
      <c r="B378" s="148"/>
      <c r="C378" s="148"/>
      <c r="D378" s="148"/>
      <c r="F378" s="148"/>
      <c r="G378" s="148"/>
      <c r="H378" s="148"/>
      <c r="I378" s="148"/>
      <c r="J378" s="148"/>
      <c r="L378" s="134"/>
    </row>
    <row r="379">
      <c r="A379" s="148"/>
      <c r="B379" s="148"/>
      <c r="C379" s="148"/>
      <c r="D379" s="148"/>
      <c r="F379" s="148"/>
      <c r="G379" s="148"/>
      <c r="H379" s="148"/>
      <c r="I379" s="148"/>
      <c r="J379" s="148"/>
      <c r="L379" s="134"/>
    </row>
    <row r="380">
      <c r="A380" s="148"/>
      <c r="B380" s="148"/>
      <c r="C380" s="148"/>
      <c r="D380" s="148"/>
      <c r="F380" s="148"/>
      <c r="G380" s="148"/>
      <c r="H380" s="148"/>
      <c r="I380" s="148"/>
      <c r="J380" s="148"/>
      <c r="L380" s="134"/>
    </row>
    <row r="381">
      <c r="A381" s="148"/>
      <c r="B381" s="148"/>
      <c r="C381" s="148"/>
      <c r="D381" s="148"/>
      <c r="F381" s="148"/>
      <c r="G381" s="148"/>
      <c r="H381" s="148"/>
      <c r="I381" s="148"/>
      <c r="J381" s="148"/>
      <c r="L381" s="134"/>
    </row>
    <row r="382">
      <c r="A382" s="148"/>
      <c r="B382" s="148"/>
      <c r="C382" s="148"/>
      <c r="D382" s="148"/>
      <c r="F382" s="148"/>
      <c r="G382" s="148"/>
      <c r="H382" s="148"/>
      <c r="I382" s="148"/>
      <c r="J382" s="148"/>
      <c r="L382" s="134"/>
    </row>
    <row r="383">
      <c r="A383" s="148"/>
      <c r="B383" s="148"/>
      <c r="C383" s="148"/>
      <c r="D383" s="148"/>
      <c r="F383" s="148"/>
      <c r="G383" s="148"/>
      <c r="H383" s="148"/>
      <c r="I383" s="148"/>
      <c r="J383" s="148"/>
      <c r="L383" s="134"/>
    </row>
    <row r="384">
      <c r="A384" s="148"/>
      <c r="B384" s="148"/>
      <c r="C384" s="148"/>
      <c r="D384" s="148"/>
      <c r="F384" s="148"/>
      <c r="G384" s="148"/>
      <c r="H384" s="148"/>
      <c r="I384" s="148"/>
      <c r="J384" s="148"/>
      <c r="L384" s="134"/>
    </row>
    <row r="385">
      <c r="A385" s="148"/>
      <c r="B385" s="148"/>
      <c r="C385" s="148"/>
      <c r="D385" s="148"/>
      <c r="F385" s="148"/>
      <c r="G385" s="148"/>
      <c r="H385" s="148"/>
      <c r="I385" s="148"/>
      <c r="J385" s="148"/>
      <c r="L385" s="134"/>
    </row>
    <row r="386">
      <c r="A386" s="148"/>
      <c r="B386" s="148"/>
      <c r="C386" s="148"/>
      <c r="D386" s="148"/>
      <c r="F386" s="148"/>
      <c r="G386" s="148"/>
      <c r="H386" s="148"/>
      <c r="I386" s="148"/>
      <c r="J386" s="148"/>
      <c r="L386" s="134"/>
    </row>
    <row r="387">
      <c r="A387" s="148"/>
      <c r="B387" s="148"/>
      <c r="C387" s="148"/>
      <c r="D387" s="148"/>
      <c r="F387" s="148"/>
      <c r="G387" s="148"/>
      <c r="H387" s="148"/>
      <c r="I387" s="148"/>
      <c r="J387" s="148"/>
      <c r="L387" s="134"/>
    </row>
    <row r="388">
      <c r="A388" s="148"/>
      <c r="B388" s="148"/>
      <c r="C388" s="148"/>
      <c r="D388" s="148"/>
      <c r="F388" s="148"/>
      <c r="G388" s="148"/>
      <c r="H388" s="148"/>
      <c r="I388" s="148"/>
      <c r="J388" s="148"/>
      <c r="L388" s="134"/>
    </row>
    <row r="389">
      <c r="A389" s="148"/>
      <c r="B389" s="148"/>
      <c r="C389" s="148"/>
      <c r="D389" s="148"/>
      <c r="F389" s="148"/>
      <c r="G389" s="148"/>
      <c r="H389" s="148"/>
      <c r="I389" s="148"/>
      <c r="J389" s="148"/>
      <c r="L389" s="134"/>
    </row>
    <row r="390">
      <c r="A390" s="148"/>
      <c r="B390" s="148"/>
      <c r="C390" s="148"/>
      <c r="D390" s="148"/>
      <c r="F390" s="148"/>
      <c r="G390" s="148"/>
      <c r="H390" s="148"/>
      <c r="I390" s="148"/>
      <c r="J390" s="148"/>
      <c r="L390" s="134"/>
    </row>
    <row r="391">
      <c r="A391" s="148"/>
      <c r="B391" s="148"/>
      <c r="C391" s="148"/>
      <c r="D391" s="148"/>
      <c r="F391" s="148"/>
      <c r="G391" s="148"/>
      <c r="H391" s="148"/>
      <c r="I391" s="148"/>
      <c r="J391" s="148"/>
      <c r="L391" s="134"/>
    </row>
    <row r="392">
      <c r="A392" s="148"/>
      <c r="B392" s="148"/>
      <c r="C392" s="148"/>
      <c r="D392" s="148"/>
      <c r="F392" s="148"/>
      <c r="G392" s="148"/>
      <c r="H392" s="148"/>
      <c r="I392" s="148"/>
      <c r="J392" s="148"/>
      <c r="L392" s="134"/>
    </row>
    <row r="393">
      <c r="A393" s="148"/>
      <c r="B393" s="148"/>
      <c r="C393" s="148"/>
      <c r="D393" s="148"/>
      <c r="F393" s="148"/>
      <c r="G393" s="148"/>
      <c r="H393" s="148"/>
      <c r="I393" s="148"/>
      <c r="J393" s="148"/>
      <c r="L393" s="134"/>
    </row>
    <row r="394">
      <c r="A394" s="148"/>
      <c r="B394" s="148"/>
      <c r="C394" s="148"/>
      <c r="D394" s="148"/>
      <c r="F394" s="148"/>
      <c r="G394" s="148"/>
      <c r="H394" s="148"/>
      <c r="I394" s="148"/>
      <c r="J394" s="148"/>
      <c r="L394" s="134"/>
    </row>
    <row r="395">
      <c r="A395" s="148"/>
      <c r="B395" s="148"/>
      <c r="C395" s="148"/>
      <c r="D395" s="148"/>
      <c r="F395" s="148"/>
      <c r="G395" s="148"/>
      <c r="H395" s="148"/>
      <c r="I395" s="148"/>
      <c r="J395" s="148"/>
      <c r="L395" s="134"/>
    </row>
    <row r="396">
      <c r="A396" s="148"/>
      <c r="B396" s="148"/>
      <c r="C396" s="148"/>
      <c r="D396" s="148"/>
      <c r="F396" s="148"/>
      <c r="G396" s="148"/>
      <c r="H396" s="148"/>
      <c r="I396" s="148"/>
      <c r="J396" s="148"/>
      <c r="L396" s="134"/>
    </row>
    <row r="397">
      <c r="A397" s="148"/>
      <c r="B397" s="148"/>
      <c r="C397" s="148"/>
      <c r="D397" s="148"/>
      <c r="F397" s="148"/>
      <c r="G397" s="148"/>
      <c r="H397" s="148"/>
      <c r="I397" s="148"/>
      <c r="J397" s="148"/>
      <c r="L397" s="134"/>
    </row>
    <row r="398">
      <c r="A398" s="148"/>
      <c r="B398" s="148"/>
      <c r="C398" s="148"/>
      <c r="D398" s="148"/>
      <c r="F398" s="148"/>
      <c r="G398" s="148"/>
      <c r="H398" s="148"/>
      <c r="I398" s="148"/>
      <c r="J398" s="148"/>
      <c r="L398" s="134"/>
    </row>
    <row r="399">
      <c r="A399" s="148"/>
      <c r="B399" s="148"/>
      <c r="C399" s="148"/>
      <c r="D399" s="148"/>
      <c r="F399" s="148"/>
      <c r="G399" s="148"/>
      <c r="H399" s="148"/>
      <c r="I399" s="148"/>
      <c r="J399" s="148"/>
      <c r="L399" s="134"/>
    </row>
    <row r="400">
      <c r="A400" s="148"/>
      <c r="B400" s="148"/>
      <c r="C400" s="148"/>
      <c r="D400" s="148"/>
      <c r="F400" s="148"/>
      <c r="G400" s="148"/>
      <c r="H400" s="148"/>
      <c r="I400" s="148"/>
      <c r="J400" s="148"/>
      <c r="L400" s="134"/>
    </row>
    <row r="401">
      <c r="A401" s="148"/>
      <c r="B401" s="148"/>
      <c r="C401" s="148"/>
      <c r="D401" s="148"/>
      <c r="F401" s="148"/>
      <c r="G401" s="148"/>
      <c r="H401" s="148"/>
      <c r="I401" s="148"/>
      <c r="J401" s="148"/>
      <c r="L401" s="134"/>
    </row>
    <row r="402">
      <c r="A402" s="148"/>
      <c r="B402" s="148"/>
      <c r="C402" s="148"/>
      <c r="D402" s="148"/>
      <c r="F402" s="148"/>
      <c r="G402" s="148"/>
      <c r="H402" s="148"/>
      <c r="I402" s="148"/>
      <c r="J402" s="148"/>
      <c r="L402" s="134"/>
    </row>
    <row r="403">
      <c r="A403" s="148"/>
      <c r="B403" s="148"/>
      <c r="C403" s="148"/>
      <c r="D403" s="148"/>
      <c r="F403" s="148"/>
      <c r="G403" s="148"/>
      <c r="H403" s="148"/>
      <c r="I403" s="148"/>
      <c r="J403" s="148"/>
      <c r="L403" s="134"/>
    </row>
    <row r="404">
      <c r="A404" s="148"/>
      <c r="B404" s="148"/>
      <c r="C404" s="148"/>
      <c r="D404" s="148"/>
      <c r="F404" s="148"/>
      <c r="G404" s="148"/>
      <c r="H404" s="148"/>
      <c r="I404" s="148"/>
      <c r="J404" s="148"/>
      <c r="L404" s="134"/>
    </row>
    <row r="405">
      <c r="A405" s="148"/>
      <c r="B405" s="148"/>
      <c r="C405" s="148"/>
      <c r="D405" s="148"/>
      <c r="F405" s="148"/>
      <c r="G405" s="148"/>
      <c r="H405" s="148"/>
      <c r="I405" s="148"/>
      <c r="J405" s="148"/>
      <c r="L405" s="134"/>
    </row>
    <row r="406">
      <c r="A406" s="148"/>
      <c r="B406" s="148"/>
      <c r="C406" s="148"/>
      <c r="D406" s="148"/>
      <c r="F406" s="148"/>
      <c r="G406" s="148"/>
      <c r="H406" s="148"/>
      <c r="I406" s="148"/>
      <c r="J406" s="148"/>
      <c r="L406" s="134"/>
    </row>
    <row r="407">
      <c r="A407" s="148"/>
      <c r="B407" s="148"/>
      <c r="C407" s="148"/>
      <c r="D407" s="148"/>
      <c r="F407" s="148"/>
      <c r="G407" s="148"/>
      <c r="H407" s="148"/>
      <c r="I407" s="148"/>
      <c r="J407" s="148"/>
      <c r="L407" s="134"/>
    </row>
    <row r="408">
      <c r="A408" s="148"/>
      <c r="B408" s="148"/>
      <c r="C408" s="148"/>
      <c r="D408" s="148"/>
      <c r="F408" s="148"/>
      <c r="G408" s="148"/>
      <c r="H408" s="148"/>
      <c r="I408" s="148"/>
      <c r="J408" s="148"/>
      <c r="L408" s="134"/>
    </row>
    <row r="409">
      <c r="A409" s="148"/>
      <c r="B409" s="148"/>
      <c r="C409" s="148"/>
      <c r="D409" s="148"/>
      <c r="F409" s="148"/>
      <c r="G409" s="148"/>
      <c r="H409" s="148"/>
      <c r="I409" s="148"/>
      <c r="J409" s="148"/>
      <c r="L409" s="134"/>
    </row>
    <row r="410">
      <c r="A410" s="148"/>
      <c r="B410" s="148"/>
      <c r="C410" s="148"/>
      <c r="D410" s="148"/>
      <c r="F410" s="148"/>
      <c r="G410" s="148"/>
      <c r="H410" s="148"/>
      <c r="I410" s="148"/>
      <c r="J410" s="148"/>
      <c r="L410" s="134"/>
    </row>
    <row r="411">
      <c r="A411" s="148"/>
      <c r="B411" s="148"/>
      <c r="C411" s="148"/>
      <c r="D411" s="148"/>
      <c r="F411" s="148"/>
      <c r="G411" s="148"/>
      <c r="H411" s="148"/>
      <c r="I411" s="148"/>
      <c r="J411" s="148"/>
      <c r="L411" s="134"/>
    </row>
    <row r="412">
      <c r="A412" s="148"/>
      <c r="B412" s="148"/>
      <c r="C412" s="148"/>
      <c r="D412" s="148"/>
      <c r="F412" s="148"/>
      <c r="G412" s="148"/>
      <c r="H412" s="148"/>
      <c r="I412" s="148"/>
      <c r="J412" s="148"/>
      <c r="L412" s="134"/>
    </row>
    <row r="413">
      <c r="A413" s="148"/>
      <c r="B413" s="148"/>
      <c r="C413" s="148"/>
      <c r="D413" s="148"/>
      <c r="F413" s="148"/>
      <c r="G413" s="148"/>
      <c r="H413" s="148"/>
      <c r="I413" s="148"/>
      <c r="J413" s="148"/>
      <c r="L413" s="134"/>
    </row>
    <row r="414">
      <c r="A414" s="148"/>
      <c r="B414" s="148"/>
      <c r="C414" s="148"/>
      <c r="D414" s="148"/>
      <c r="F414" s="148"/>
      <c r="G414" s="148"/>
      <c r="H414" s="148"/>
      <c r="I414" s="148"/>
      <c r="J414" s="148"/>
      <c r="L414" s="134"/>
    </row>
    <row r="415">
      <c r="A415" s="148"/>
      <c r="B415" s="148"/>
      <c r="C415" s="148"/>
      <c r="D415" s="148"/>
      <c r="F415" s="148"/>
      <c r="G415" s="148"/>
      <c r="H415" s="148"/>
      <c r="I415" s="148"/>
      <c r="J415" s="148"/>
      <c r="L415" s="134"/>
    </row>
    <row r="416">
      <c r="A416" s="148"/>
      <c r="B416" s="148"/>
      <c r="C416" s="148"/>
      <c r="D416" s="148"/>
      <c r="F416" s="148"/>
      <c r="G416" s="148"/>
      <c r="H416" s="148"/>
      <c r="I416" s="148"/>
      <c r="J416" s="148"/>
      <c r="L416" s="134"/>
    </row>
    <row r="417">
      <c r="A417" s="148"/>
      <c r="B417" s="148"/>
      <c r="C417" s="148"/>
      <c r="D417" s="148"/>
      <c r="F417" s="148"/>
      <c r="G417" s="148"/>
      <c r="H417" s="148"/>
      <c r="I417" s="148"/>
      <c r="J417" s="148"/>
      <c r="L417" s="134"/>
    </row>
    <row r="418">
      <c r="A418" s="148"/>
      <c r="B418" s="148"/>
      <c r="C418" s="148"/>
      <c r="D418" s="148"/>
      <c r="F418" s="148"/>
      <c r="G418" s="148"/>
      <c r="H418" s="148"/>
      <c r="I418" s="148"/>
      <c r="J418" s="148"/>
      <c r="L418" s="134"/>
    </row>
    <row r="419">
      <c r="A419" s="148"/>
      <c r="B419" s="148"/>
      <c r="C419" s="148"/>
      <c r="D419" s="148"/>
      <c r="F419" s="148"/>
      <c r="G419" s="148"/>
      <c r="H419" s="148"/>
      <c r="I419" s="148"/>
      <c r="J419" s="148"/>
      <c r="L419" s="134"/>
    </row>
    <row r="420">
      <c r="A420" s="148"/>
      <c r="B420" s="148"/>
      <c r="C420" s="148"/>
      <c r="D420" s="148"/>
      <c r="F420" s="148"/>
      <c r="G420" s="148"/>
      <c r="H420" s="148"/>
      <c r="I420" s="148"/>
      <c r="J420" s="148"/>
      <c r="L420" s="134"/>
    </row>
    <row r="421">
      <c r="A421" s="148"/>
      <c r="B421" s="148"/>
      <c r="C421" s="148"/>
      <c r="D421" s="148"/>
      <c r="F421" s="148"/>
      <c r="G421" s="148"/>
      <c r="H421" s="148"/>
      <c r="I421" s="148"/>
      <c r="J421" s="148"/>
      <c r="L421" s="134"/>
    </row>
    <row r="422">
      <c r="A422" s="148"/>
      <c r="B422" s="148"/>
      <c r="C422" s="148"/>
      <c r="D422" s="148"/>
      <c r="F422" s="148"/>
      <c r="G422" s="148"/>
      <c r="H422" s="148"/>
      <c r="I422" s="148"/>
      <c r="J422" s="148"/>
      <c r="L422" s="134"/>
    </row>
    <row r="423">
      <c r="A423" s="148"/>
      <c r="B423" s="148"/>
      <c r="C423" s="148"/>
      <c r="D423" s="148"/>
      <c r="F423" s="148"/>
      <c r="G423" s="148"/>
      <c r="H423" s="148"/>
      <c r="I423" s="148"/>
      <c r="J423" s="148"/>
      <c r="L423" s="134"/>
    </row>
    <row r="424">
      <c r="A424" s="148"/>
      <c r="B424" s="148"/>
      <c r="C424" s="148"/>
      <c r="D424" s="148"/>
      <c r="F424" s="148"/>
      <c r="G424" s="148"/>
      <c r="H424" s="148"/>
      <c r="I424" s="148"/>
      <c r="J424" s="148"/>
      <c r="L424" s="134"/>
    </row>
    <row r="425">
      <c r="A425" s="148"/>
      <c r="B425" s="148"/>
      <c r="C425" s="148"/>
      <c r="D425" s="148"/>
      <c r="F425" s="148"/>
      <c r="G425" s="148"/>
      <c r="H425" s="148"/>
      <c r="I425" s="148"/>
      <c r="J425" s="148"/>
      <c r="L425" s="134"/>
    </row>
    <row r="426">
      <c r="A426" s="148"/>
      <c r="B426" s="148"/>
      <c r="C426" s="148"/>
      <c r="D426" s="148"/>
      <c r="F426" s="148"/>
      <c r="G426" s="148"/>
      <c r="H426" s="148"/>
      <c r="I426" s="148"/>
      <c r="J426" s="148"/>
      <c r="L426" s="134"/>
    </row>
    <row r="427">
      <c r="A427" s="148"/>
      <c r="B427" s="148"/>
      <c r="C427" s="148"/>
      <c r="D427" s="148"/>
      <c r="F427" s="148"/>
      <c r="G427" s="148"/>
      <c r="H427" s="148"/>
      <c r="I427" s="148"/>
      <c r="J427" s="148"/>
      <c r="L427" s="134"/>
    </row>
    <row r="428">
      <c r="A428" s="148"/>
      <c r="B428" s="148"/>
      <c r="C428" s="148"/>
      <c r="D428" s="148"/>
      <c r="F428" s="148"/>
      <c r="G428" s="148"/>
      <c r="H428" s="148"/>
      <c r="I428" s="148"/>
      <c r="J428" s="148"/>
      <c r="L428" s="134"/>
    </row>
    <row r="429">
      <c r="A429" s="148"/>
      <c r="B429" s="148"/>
      <c r="C429" s="148"/>
      <c r="D429" s="148"/>
      <c r="F429" s="148"/>
      <c r="G429" s="148"/>
      <c r="H429" s="148"/>
      <c r="I429" s="148"/>
      <c r="J429" s="148"/>
      <c r="L429" s="134"/>
    </row>
    <row r="430">
      <c r="A430" s="148"/>
      <c r="B430" s="148"/>
      <c r="C430" s="148"/>
      <c r="D430" s="148"/>
      <c r="F430" s="148"/>
      <c r="G430" s="148"/>
      <c r="H430" s="148"/>
      <c r="I430" s="148"/>
      <c r="J430" s="148"/>
      <c r="L430" s="134"/>
    </row>
    <row r="431">
      <c r="A431" s="148"/>
      <c r="B431" s="148"/>
      <c r="C431" s="148"/>
      <c r="D431" s="148"/>
      <c r="F431" s="148"/>
      <c r="G431" s="148"/>
      <c r="H431" s="148"/>
      <c r="I431" s="148"/>
      <c r="J431" s="148"/>
      <c r="L431" s="134"/>
    </row>
    <row r="432">
      <c r="A432" s="148"/>
      <c r="B432" s="148"/>
      <c r="C432" s="148"/>
      <c r="D432" s="148"/>
      <c r="F432" s="148"/>
      <c r="G432" s="148"/>
      <c r="H432" s="148"/>
      <c r="I432" s="148"/>
      <c r="J432" s="148"/>
      <c r="L432" s="134"/>
    </row>
    <row r="433">
      <c r="A433" s="148"/>
      <c r="B433" s="148"/>
      <c r="C433" s="148"/>
      <c r="D433" s="148"/>
      <c r="F433" s="148"/>
      <c r="G433" s="148"/>
      <c r="H433" s="148"/>
      <c r="I433" s="148"/>
      <c r="J433" s="148"/>
      <c r="L433" s="134"/>
    </row>
    <row r="434">
      <c r="A434" s="148"/>
      <c r="B434" s="148"/>
      <c r="C434" s="148"/>
      <c r="D434" s="148"/>
      <c r="F434" s="148"/>
      <c r="G434" s="148"/>
      <c r="H434" s="148"/>
      <c r="I434" s="148"/>
      <c r="J434" s="148"/>
      <c r="L434" s="134"/>
    </row>
    <row r="435">
      <c r="A435" s="148"/>
      <c r="B435" s="148"/>
      <c r="C435" s="148"/>
      <c r="D435" s="148"/>
      <c r="F435" s="148"/>
      <c r="G435" s="148"/>
      <c r="H435" s="148"/>
      <c r="I435" s="148"/>
      <c r="J435" s="148"/>
      <c r="L435" s="134"/>
    </row>
    <row r="436">
      <c r="A436" s="148"/>
      <c r="B436" s="148"/>
      <c r="C436" s="148"/>
      <c r="D436" s="148"/>
      <c r="F436" s="148"/>
      <c r="G436" s="148"/>
      <c r="H436" s="148"/>
      <c r="I436" s="148"/>
      <c r="J436" s="148"/>
      <c r="L436" s="134"/>
    </row>
    <row r="437">
      <c r="A437" s="148"/>
      <c r="B437" s="148"/>
      <c r="C437" s="148"/>
      <c r="D437" s="148"/>
      <c r="F437" s="148"/>
      <c r="G437" s="148"/>
      <c r="H437" s="148"/>
      <c r="I437" s="148"/>
      <c r="J437" s="148"/>
      <c r="L437" s="134"/>
    </row>
    <row r="438">
      <c r="A438" s="148"/>
      <c r="B438" s="148"/>
      <c r="C438" s="148"/>
      <c r="D438" s="148"/>
      <c r="F438" s="148"/>
      <c r="G438" s="148"/>
      <c r="H438" s="148"/>
      <c r="I438" s="148"/>
      <c r="J438" s="148"/>
      <c r="L438" s="134"/>
    </row>
    <row r="439">
      <c r="A439" s="148"/>
      <c r="B439" s="148"/>
      <c r="C439" s="148"/>
      <c r="D439" s="148"/>
      <c r="F439" s="148"/>
      <c r="G439" s="148"/>
      <c r="H439" s="148"/>
      <c r="I439" s="148"/>
      <c r="J439" s="148"/>
      <c r="L439" s="134"/>
    </row>
    <row r="440">
      <c r="A440" s="148"/>
      <c r="B440" s="148"/>
      <c r="C440" s="148"/>
      <c r="D440" s="148"/>
      <c r="F440" s="148"/>
      <c r="G440" s="148"/>
      <c r="H440" s="148"/>
      <c r="I440" s="148"/>
      <c r="J440" s="148"/>
      <c r="L440" s="134"/>
    </row>
    <row r="441">
      <c r="A441" s="148"/>
      <c r="B441" s="148"/>
      <c r="C441" s="148"/>
      <c r="D441" s="148"/>
      <c r="F441" s="148"/>
      <c r="G441" s="148"/>
      <c r="H441" s="148"/>
      <c r="I441" s="148"/>
      <c r="J441" s="148"/>
      <c r="L441" s="134"/>
    </row>
    <row r="442">
      <c r="A442" s="148"/>
      <c r="B442" s="148"/>
      <c r="C442" s="148"/>
      <c r="D442" s="148"/>
      <c r="F442" s="148"/>
      <c r="G442" s="148"/>
      <c r="H442" s="148"/>
      <c r="I442" s="148"/>
      <c r="J442" s="148"/>
      <c r="L442" s="134"/>
    </row>
    <row r="443">
      <c r="A443" s="148"/>
      <c r="B443" s="148"/>
      <c r="C443" s="148"/>
      <c r="D443" s="148"/>
      <c r="F443" s="148"/>
      <c r="G443" s="148"/>
      <c r="H443" s="148"/>
      <c r="I443" s="148"/>
      <c r="J443" s="148"/>
      <c r="L443" s="134"/>
    </row>
    <row r="444">
      <c r="A444" s="148"/>
      <c r="B444" s="148"/>
      <c r="C444" s="148"/>
      <c r="D444" s="148"/>
      <c r="F444" s="148"/>
      <c r="G444" s="148"/>
      <c r="H444" s="148"/>
      <c r="I444" s="148"/>
      <c r="J444" s="148"/>
      <c r="L444" s="134"/>
    </row>
    <row r="445">
      <c r="A445" s="148"/>
      <c r="B445" s="148"/>
      <c r="C445" s="148"/>
      <c r="D445" s="148"/>
      <c r="F445" s="148"/>
      <c r="G445" s="148"/>
      <c r="H445" s="148"/>
      <c r="I445" s="148"/>
      <c r="J445" s="148"/>
      <c r="L445" s="134"/>
    </row>
    <row r="446">
      <c r="A446" s="148"/>
      <c r="B446" s="148"/>
      <c r="C446" s="148"/>
      <c r="D446" s="148"/>
      <c r="F446" s="148"/>
      <c r="G446" s="148"/>
      <c r="H446" s="148"/>
      <c r="I446" s="148"/>
      <c r="J446" s="148"/>
      <c r="L446" s="134"/>
    </row>
    <row r="447">
      <c r="A447" s="148"/>
      <c r="B447" s="148"/>
      <c r="C447" s="148"/>
      <c r="D447" s="148"/>
      <c r="F447" s="148"/>
      <c r="G447" s="148"/>
      <c r="H447" s="148"/>
      <c r="I447" s="148"/>
      <c r="J447" s="148"/>
      <c r="L447" s="134"/>
    </row>
    <row r="448">
      <c r="A448" s="148"/>
      <c r="B448" s="148"/>
      <c r="C448" s="148"/>
      <c r="D448" s="148"/>
      <c r="F448" s="148"/>
      <c r="G448" s="148"/>
      <c r="H448" s="148"/>
      <c r="I448" s="148"/>
      <c r="J448" s="148"/>
      <c r="L448" s="134"/>
    </row>
    <row r="449">
      <c r="A449" s="148"/>
      <c r="B449" s="148"/>
      <c r="C449" s="148"/>
      <c r="D449" s="148"/>
      <c r="F449" s="148"/>
      <c r="G449" s="148"/>
      <c r="H449" s="148"/>
      <c r="I449" s="148"/>
      <c r="J449" s="148"/>
      <c r="L449" s="134"/>
    </row>
    <row r="450">
      <c r="A450" s="148"/>
      <c r="B450" s="148"/>
      <c r="C450" s="148"/>
      <c r="D450" s="148"/>
      <c r="F450" s="148"/>
      <c r="G450" s="148"/>
      <c r="H450" s="148"/>
      <c r="I450" s="148"/>
      <c r="J450" s="148"/>
      <c r="L450" s="134"/>
    </row>
    <row r="451">
      <c r="A451" s="148"/>
      <c r="B451" s="148"/>
      <c r="C451" s="148"/>
      <c r="D451" s="148"/>
      <c r="F451" s="148"/>
      <c r="G451" s="148"/>
      <c r="H451" s="148"/>
      <c r="I451" s="148"/>
      <c r="J451" s="148"/>
      <c r="L451" s="134"/>
    </row>
    <row r="452">
      <c r="A452" s="148"/>
      <c r="B452" s="148"/>
      <c r="C452" s="148"/>
      <c r="D452" s="148"/>
      <c r="F452" s="148"/>
      <c r="G452" s="148"/>
      <c r="H452" s="148"/>
      <c r="I452" s="148"/>
      <c r="J452" s="148"/>
      <c r="L452" s="134"/>
    </row>
    <row r="453">
      <c r="A453" s="148"/>
      <c r="B453" s="148"/>
      <c r="C453" s="148"/>
      <c r="D453" s="148"/>
      <c r="F453" s="148"/>
      <c r="G453" s="148"/>
      <c r="H453" s="148"/>
      <c r="I453" s="148"/>
      <c r="J453" s="148"/>
      <c r="L453" s="134"/>
    </row>
    <row r="454">
      <c r="A454" s="148"/>
      <c r="B454" s="148"/>
      <c r="C454" s="148"/>
      <c r="D454" s="148"/>
      <c r="F454" s="148"/>
      <c r="G454" s="148"/>
      <c r="H454" s="148"/>
      <c r="I454" s="148"/>
      <c r="J454" s="148"/>
      <c r="L454" s="134"/>
    </row>
    <row r="455">
      <c r="A455" s="148"/>
      <c r="B455" s="148"/>
      <c r="C455" s="148"/>
      <c r="D455" s="148"/>
      <c r="F455" s="148"/>
      <c r="G455" s="148"/>
      <c r="H455" s="148"/>
      <c r="I455" s="148"/>
      <c r="J455" s="148"/>
      <c r="L455" s="134"/>
    </row>
    <row r="456">
      <c r="A456" s="148"/>
      <c r="B456" s="148"/>
      <c r="C456" s="148"/>
      <c r="D456" s="148"/>
      <c r="F456" s="148"/>
      <c r="G456" s="148"/>
      <c r="H456" s="148"/>
      <c r="I456" s="148"/>
      <c r="J456" s="148"/>
      <c r="L456" s="134"/>
    </row>
    <row r="457">
      <c r="A457" s="148"/>
      <c r="B457" s="148"/>
      <c r="C457" s="148"/>
      <c r="D457" s="148"/>
      <c r="F457" s="148"/>
      <c r="G457" s="148"/>
      <c r="H457" s="148"/>
      <c r="I457" s="148"/>
      <c r="J457" s="148"/>
      <c r="L457" s="134"/>
    </row>
    <row r="458">
      <c r="A458" s="148"/>
      <c r="B458" s="148"/>
      <c r="C458" s="148"/>
      <c r="D458" s="148"/>
      <c r="F458" s="148"/>
      <c r="G458" s="148"/>
      <c r="H458" s="148"/>
      <c r="I458" s="148"/>
      <c r="J458" s="148"/>
      <c r="L458" s="134"/>
    </row>
    <row r="459">
      <c r="A459" s="148"/>
      <c r="B459" s="148"/>
      <c r="C459" s="148"/>
      <c r="D459" s="148"/>
      <c r="F459" s="148"/>
      <c r="G459" s="148"/>
      <c r="H459" s="148"/>
      <c r="I459" s="148"/>
      <c r="J459" s="148"/>
      <c r="L459" s="134"/>
    </row>
    <row r="460">
      <c r="A460" s="148"/>
      <c r="B460" s="148"/>
      <c r="C460" s="148"/>
      <c r="D460" s="148"/>
      <c r="F460" s="148"/>
      <c r="G460" s="148"/>
      <c r="H460" s="148"/>
      <c r="I460" s="148"/>
      <c r="J460" s="148"/>
      <c r="L460" s="134"/>
    </row>
    <row r="461">
      <c r="A461" s="148"/>
      <c r="B461" s="148"/>
      <c r="C461" s="148"/>
      <c r="D461" s="148"/>
      <c r="F461" s="148"/>
      <c r="G461" s="148"/>
      <c r="H461" s="148"/>
      <c r="I461" s="148"/>
      <c r="J461" s="148"/>
      <c r="L461" s="134"/>
    </row>
    <row r="462">
      <c r="A462" s="148"/>
      <c r="B462" s="148"/>
      <c r="C462" s="148"/>
      <c r="D462" s="148"/>
      <c r="F462" s="148"/>
      <c r="G462" s="148"/>
      <c r="H462" s="148"/>
      <c r="I462" s="148"/>
      <c r="J462" s="148"/>
      <c r="L462" s="134"/>
    </row>
    <row r="463">
      <c r="A463" s="148"/>
      <c r="B463" s="148"/>
      <c r="C463" s="148"/>
      <c r="D463" s="148"/>
      <c r="F463" s="148"/>
      <c r="G463" s="148"/>
      <c r="H463" s="148"/>
      <c r="I463" s="148"/>
      <c r="J463" s="148"/>
      <c r="L463" s="134"/>
    </row>
    <row r="464">
      <c r="A464" s="148"/>
      <c r="B464" s="148"/>
      <c r="C464" s="148"/>
      <c r="D464" s="148"/>
      <c r="F464" s="148"/>
      <c r="G464" s="148"/>
      <c r="H464" s="148"/>
      <c r="I464" s="148"/>
      <c r="J464" s="148"/>
      <c r="L464" s="134"/>
    </row>
    <row r="465">
      <c r="A465" s="148"/>
      <c r="B465" s="148"/>
      <c r="C465" s="148"/>
      <c r="D465" s="148"/>
      <c r="F465" s="148"/>
      <c r="G465" s="148"/>
      <c r="H465" s="148"/>
      <c r="I465" s="148"/>
      <c r="J465" s="148"/>
      <c r="L465" s="134"/>
    </row>
    <row r="466">
      <c r="A466" s="148"/>
      <c r="B466" s="148"/>
      <c r="C466" s="148"/>
      <c r="D466" s="148"/>
      <c r="F466" s="148"/>
      <c r="G466" s="148"/>
      <c r="H466" s="148"/>
      <c r="I466" s="148"/>
      <c r="J466" s="148"/>
      <c r="L466" s="134"/>
    </row>
    <row r="467">
      <c r="A467" s="148"/>
      <c r="B467" s="148"/>
      <c r="C467" s="148"/>
      <c r="D467" s="148"/>
      <c r="F467" s="148"/>
      <c r="G467" s="148"/>
      <c r="H467" s="148"/>
      <c r="I467" s="148"/>
      <c r="J467" s="148"/>
      <c r="L467" s="134"/>
    </row>
    <row r="468">
      <c r="A468" s="148"/>
      <c r="B468" s="148"/>
      <c r="C468" s="148"/>
      <c r="D468" s="148"/>
      <c r="F468" s="148"/>
      <c r="G468" s="148"/>
      <c r="H468" s="148"/>
      <c r="I468" s="148"/>
      <c r="J468" s="148"/>
      <c r="L468" s="134"/>
    </row>
    <row r="469">
      <c r="A469" s="148"/>
      <c r="B469" s="148"/>
      <c r="C469" s="148"/>
      <c r="D469" s="148"/>
      <c r="F469" s="148"/>
      <c r="G469" s="148"/>
      <c r="H469" s="148"/>
      <c r="I469" s="148"/>
      <c r="J469" s="148"/>
      <c r="L469" s="134"/>
    </row>
    <row r="470">
      <c r="A470" s="148"/>
      <c r="B470" s="148"/>
      <c r="C470" s="148"/>
      <c r="D470" s="148"/>
      <c r="F470" s="148"/>
      <c r="G470" s="148"/>
      <c r="H470" s="148"/>
      <c r="I470" s="148"/>
      <c r="J470" s="148"/>
      <c r="L470" s="134"/>
    </row>
    <row r="471">
      <c r="A471" s="148"/>
      <c r="B471" s="148"/>
      <c r="C471" s="148"/>
      <c r="D471" s="148"/>
      <c r="F471" s="148"/>
      <c r="G471" s="148"/>
      <c r="H471" s="148"/>
      <c r="I471" s="148"/>
      <c r="J471" s="148"/>
      <c r="L471" s="134"/>
    </row>
    <row r="472">
      <c r="A472" s="148"/>
      <c r="B472" s="148"/>
      <c r="C472" s="148"/>
      <c r="D472" s="148"/>
      <c r="F472" s="148"/>
      <c r="G472" s="148"/>
      <c r="H472" s="148"/>
      <c r="I472" s="148"/>
      <c r="J472" s="148"/>
      <c r="L472" s="134"/>
    </row>
    <row r="473">
      <c r="A473" s="148"/>
      <c r="B473" s="148"/>
      <c r="C473" s="148"/>
      <c r="D473" s="148"/>
      <c r="F473" s="148"/>
      <c r="G473" s="148"/>
      <c r="H473" s="148"/>
      <c r="I473" s="148"/>
      <c r="J473" s="148"/>
      <c r="L473" s="134"/>
    </row>
    <row r="474">
      <c r="A474" s="148"/>
      <c r="B474" s="148"/>
      <c r="C474" s="148"/>
      <c r="D474" s="148"/>
      <c r="F474" s="148"/>
      <c r="G474" s="148"/>
      <c r="H474" s="148"/>
      <c r="I474" s="148"/>
      <c r="J474" s="148"/>
      <c r="L474" s="134"/>
    </row>
    <row r="475">
      <c r="A475" s="148"/>
      <c r="B475" s="148"/>
      <c r="C475" s="148"/>
      <c r="D475" s="148"/>
      <c r="F475" s="148"/>
      <c r="G475" s="148"/>
      <c r="H475" s="148"/>
      <c r="I475" s="148"/>
      <c r="J475" s="148"/>
      <c r="L475" s="134"/>
    </row>
    <row r="476">
      <c r="A476" s="148"/>
      <c r="B476" s="148"/>
      <c r="C476" s="148"/>
      <c r="D476" s="148"/>
      <c r="F476" s="148"/>
      <c r="G476" s="148"/>
      <c r="H476" s="148"/>
      <c r="I476" s="148"/>
      <c r="J476" s="148"/>
      <c r="L476" s="134"/>
    </row>
    <row r="477">
      <c r="A477" s="148"/>
      <c r="B477" s="148"/>
      <c r="C477" s="148"/>
      <c r="D477" s="148"/>
      <c r="F477" s="148"/>
      <c r="G477" s="148"/>
      <c r="H477" s="148"/>
      <c r="I477" s="148"/>
      <c r="J477" s="148"/>
      <c r="L477" s="134"/>
    </row>
    <row r="478">
      <c r="A478" s="148"/>
      <c r="B478" s="148"/>
      <c r="C478" s="148"/>
      <c r="D478" s="148"/>
      <c r="F478" s="148"/>
      <c r="G478" s="148"/>
      <c r="H478" s="148"/>
      <c r="I478" s="148"/>
      <c r="J478" s="148"/>
      <c r="L478" s="134"/>
    </row>
    <row r="479">
      <c r="A479" s="148"/>
      <c r="B479" s="148"/>
      <c r="C479" s="148"/>
      <c r="D479" s="148"/>
      <c r="F479" s="148"/>
      <c r="G479" s="148"/>
      <c r="H479" s="148"/>
      <c r="I479" s="148"/>
      <c r="J479" s="148"/>
      <c r="L479" s="134"/>
    </row>
    <row r="480">
      <c r="A480" s="148"/>
      <c r="B480" s="148"/>
      <c r="C480" s="148"/>
      <c r="D480" s="148"/>
      <c r="F480" s="148"/>
      <c r="G480" s="148"/>
      <c r="H480" s="148"/>
      <c r="I480" s="148"/>
      <c r="J480" s="148"/>
      <c r="L480" s="134"/>
    </row>
    <row r="481">
      <c r="A481" s="148"/>
      <c r="B481" s="148"/>
      <c r="C481" s="148"/>
      <c r="D481" s="148"/>
      <c r="F481" s="148"/>
      <c r="G481" s="148"/>
      <c r="H481" s="148"/>
      <c r="I481" s="148"/>
      <c r="J481" s="148"/>
      <c r="L481" s="134"/>
    </row>
    <row r="482">
      <c r="A482" s="148"/>
      <c r="B482" s="148"/>
      <c r="C482" s="148"/>
      <c r="D482" s="148"/>
      <c r="F482" s="148"/>
      <c r="G482" s="148"/>
      <c r="H482" s="148"/>
      <c r="I482" s="148"/>
      <c r="J482" s="148"/>
      <c r="L482" s="134"/>
    </row>
    <row r="483">
      <c r="A483" s="148"/>
      <c r="B483" s="148"/>
      <c r="C483" s="148"/>
      <c r="D483" s="148"/>
      <c r="F483" s="148"/>
      <c r="G483" s="148"/>
      <c r="H483" s="148"/>
      <c r="I483" s="148"/>
      <c r="J483" s="148"/>
      <c r="L483" s="134"/>
    </row>
    <row r="484">
      <c r="A484" s="148"/>
      <c r="B484" s="148"/>
      <c r="C484" s="148"/>
      <c r="D484" s="148"/>
      <c r="F484" s="148"/>
      <c r="G484" s="148"/>
      <c r="H484" s="148"/>
      <c r="I484" s="148"/>
      <c r="J484" s="148"/>
      <c r="L484" s="134"/>
    </row>
    <row r="485">
      <c r="A485" s="148"/>
      <c r="B485" s="148"/>
      <c r="C485" s="148"/>
      <c r="D485" s="148"/>
      <c r="F485" s="148"/>
      <c r="G485" s="148"/>
      <c r="H485" s="148"/>
      <c r="I485" s="148"/>
      <c r="J485" s="148"/>
      <c r="L485" s="134"/>
    </row>
    <row r="486">
      <c r="A486" s="148"/>
      <c r="B486" s="148"/>
      <c r="C486" s="148"/>
      <c r="D486" s="148"/>
      <c r="F486" s="148"/>
      <c r="G486" s="148"/>
      <c r="H486" s="148"/>
      <c r="I486" s="148"/>
      <c r="J486" s="148"/>
      <c r="L486" s="134"/>
    </row>
    <row r="487">
      <c r="A487" s="148"/>
      <c r="B487" s="148"/>
      <c r="C487" s="148"/>
      <c r="D487" s="148"/>
      <c r="F487" s="148"/>
      <c r="G487" s="148"/>
      <c r="H487" s="148"/>
      <c r="I487" s="148"/>
      <c r="J487" s="148"/>
      <c r="L487" s="134"/>
    </row>
    <row r="488">
      <c r="A488" s="148"/>
      <c r="B488" s="148"/>
      <c r="C488" s="148"/>
      <c r="D488" s="148"/>
      <c r="F488" s="148"/>
      <c r="G488" s="148"/>
      <c r="H488" s="148"/>
      <c r="I488" s="148"/>
      <c r="J488" s="148"/>
      <c r="L488" s="134"/>
    </row>
    <row r="489">
      <c r="A489" s="148"/>
      <c r="B489" s="148"/>
      <c r="C489" s="148"/>
      <c r="D489" s="148"/>
      <c r="F489" s="148"/>
      <c r="G489" s="148"/>
      <c r="H489" s="148"/>
      <c r="I489" s="148"/>
      <c r="J489" s="148"/>
      <c r="L489" s="134"/>
    </row>
    <row r="490">
      <c r="A490" s="148"/>
      <c r="B490" s="148"/>
      <c r="C490" s="148"/>
      <c r="D490" s="148"/>
      <c r="F490" s="148"/>
      <c r="G490" s="148"/>
      <c r="H490" s="148"/>
      <c r="I490" s="148"/>
      <c r="J490" s="148"/>
      <c r="L490" s="134"/>
    </row>
    <row r="491">
      <c r="A491" s="148"/>
      <c r="B491" s="148"/>
      <c r="C491" s="148"/>
      <c r="D491" s="148"/>
      <c r="F491" s="148"/>
      <c r="G491" s="148"/>
      <c r="H491" s="148"/>
      <c r="I491" s="148"/>
      <c r="J491" s="148"/>
      <c r="L491" s="134"/>
    </row>
    <row r="492">
      <c r="A492" s="148"/>
      <c r="B492" s="148"/>
      <c r="C492" s="148"/>
      <c r="D492" s="148"/>
      <c r="F492" s="148"/>
      <c r="G492" s="148"/>
      <c r="H492" s="148"/>
      <c r="I492" s="148"/>
      <c r="J492" s="148"/>
      <c r="L492" s="134"/>
    </row>
    <row r="493">
      <c r="A493" s="148"/>
      <c r="B493" s="148"/>
      <c r="C493" s="148"/>
      <c r="D493" s="148"/>
      <c r="F493" s="148"/>
      <c r="G493" s="148"/>
      <c r="H493" s="148"/>
      <c r="I493" s="148"/>
      <c r="J493" s="148"/>
      <c r="L493" s="134"/>
    </row>
    <row r="494">
      <c r="A494" s="148"/>
      <c r="B494" s="148"/>
      <c r="C494" s="148"/>
      <c r="D494" s="148"/>
      <c r="F494" s="148"/>
      <c r="G494" s="148"/>
      <c r="H494" s="148"/>
      <c r="I494" s="148"/>
      <c r="J494" s="148"/>
      <c r="L494" s="134"/>
    </row>
    <row r="495">
      <c r="A495" s="148"/>
      <c r="B495" s="148"/>
      <c r="C495" s="148"/>
      <c r="D495" s="148"/>
      <c r="F495" s="148"/>
      <c r="G495" s="148"/>
      <c r="H495" s="148"/>
      <c r="I495" s="148"/>
      <c r="J495" s="148"/>
      <c r="L495" s="134"/>
    </row>
    <row r="496">
      <c r="A496" s="148"/>
      <c r="B496" s="148"/>
      <c r="C496" s="148"/>
      <c r="D496" s="148"/>
      <c r="F496" s="148"/>
      <c r="G496" s="148"/>
      <c r="H496" s="148"/>
      <c r="I496" s="148"/>
      <c r="J496" s="148"/>
      <c r="L496" s="134"/>
    </row>
    <row r="497">
      <c r="A497" s="148"/>
      <c r="B497" s="148"/>
      <c r="C497" s="148"/>
      <c r="D497" s="148"/>
      <c r="F497" s="148"/>
      <c r="G497" s="148"/>
      <c r="H497" s="148"/>
      <c r="I497" s="148"/>
      <c r="J497" s="148"/>
      <c r="L497" s="134"/>
    </row>
    <row r="498">
      <c r="A498" s="148"/>
      <c r="B498" s="148"/>
      <c r="C498" s="148"/>
      <c r="D498" s="148"/>
      <c r="F498" s="148"/>
      <c r="G498" s="148"/>
      <c r="H498" s="148"/>
      <c r="I498" s="148"/>
      <c r="J498" s="148"/>
      <c r="L498" s="134"/>
    </row>
    <row r="499">
      <c r="A499" s="148"/>
      <c r="B499" s="148"/>
      <c r="C499" s="148"/>
      <c r="D499" s="148"/>
      <c r="F499" s="148"/>
      <c r="G499" s="148"/>
      <c r="H499" s="148"/>
      <c r="I499" s="148"/>
      <c r="J499" s="148"/>
      <c r="L499" s="134"/>
    </row>
    <row r="500">
      <c r="A500" s="148"/>
      <c r="B500" s="148"/>
      <c r="C500" s="148"/>
      <c r="D500" s="148"/>
      <c r="F500" s="148"/>
      <c r="G500" s="148"/>
      <c r="H500" s="148"/>
      <c r="I500" s="148"/>
      <c r="J500" s="148"/>
      <c r="L500" s="134"/>
    </row>
    <row r="501">
      <c r="A501" s="148"/>
      <c r="B501" s="148"/>
      <c r="C501" s="148"/>
      <c r="D501" s="148"/>
      <c r="F501" s="148"/>
      <c r="G501" s="148"/>
      <c r="H501" s="148"/>
      <c r="I501" s="148"/>
      <c r="J501" s="148"/>
      <c r="L501" s="134"/>
    </row>
    <row r="502">
      <c r="A502" s="148"/>
      <c r="B502" s="148"/>
      <c r="C502" s="148"/>
      <c r="D502" s="148"/>
      <c r="F502" s="148"/>
      <c r="G502" s="148"/>
      <c r="H502" s="148"/>
      <c r="I502" s="148"/>
      <c r="J502" s="148"/>
      <c r="L502" s="134"/>
    </row>
    <row r="503">
      <c r="A503" s="148"/>
      <c r="B503" s="148"/>
      <c r="C503" s="148"/>
      <c r="D503" s="148"/>
      <c r="F503" s="148"/>
      <c r="G503" s="148"/>
      <c r="H503" s="148"/>
      <c r="I503" s="148"/>
      <c r="J503" s="148"/>
      <c r="L503" s="134"/>
    </row>
    <row r="504">
      <c r="A504" s="148"/>
      <c r="B504" s="148"/>
      <c r="C504" s="148"/>
      <c r="D504" s="148"/>
      <c r="F504" s="148"/>
      <c r="G504" s="148"/>
      <c r="H504" s="148"/>
      <c r="I504" s="148"/>
      <c r="J504" s="148"/>
      <c r="L504" s="134"/>
    </row>
    <row r="505">
      <c r="A505" s="148"/>
      <c r="B505" s="148"/>
      <c r="C505" s="148"/>
      <c r="D505" s="148"/>
      <c r="F505" s="148"/>
      <c r="G505" s="148"/>
      <c r="H505" s="148"/>
      <c r="I505" s="148"/>
      <c r="J505" s="148"/>
      <c r="L505" s="134"/>
    </row>
    <row r="506">
      <c r="A506" s="148"/>
      <c r="B506" s="148"/>
      <c r="C506" s="148"/>
      <c r="D506" s="148"/>
      <c r="F506" s="148"/>
      <c r="G506" s="148"/>
      <c r="H506" s="148"/>
      <c r="I506" s="148"/>
      <c r="J506" s="148"/>
      <c r="L506" s="134"/>
    </row>
    <row r="507">
      <c r="A507" s="148"/>
      <c r="B507" s="148"/>
      <c r="C507" s="148"/>
      <c r="D507" s="148"/>
      <c r="F507" s="148"/>
      <c r="G507" s="148"/>
      <c r="H507" s="148"/>
      <c r="I507" s="148"/>
      <c r="J507" s="148"/>
      <c r="L507" s="134"/>
    </row>
    <row r="508">
      <c r="A508" s="148"/>
      <c r="B508" s="148"/>
      <c r="C508" s="148"/>
      <c r="D508" s="148"/>
      <c r="F508" s="148"/>
      <c r="G508" s="148"/>
      <c r="H508" s="148"/>
      <c r="I508" s="148"/>
      <c r="J508" s="148"/>
      <c r="L508" s="134"/>
    </row>
    <row r="509">
      <c r="A509" s="148"/>
      <c r="B509" s="148"/>
      <c r="C509" s="148"/>
      <c r="D509" s="148"/>
      <c r="F509" s="148"/>
      <c r="G509" s="148"/>
      <c r="H509" s="148"/>
      <c r="I509" s="148"/>
      <c r="J509" s="148"/>
      <c r="L509" s="134"/>
    </row>
    <row r="510">
      <c r="A510" s="148"/>
      <c r="B510" s="148"/>
      <c r="C510" s="148"/>
      <c r="D510" s="148"/>
      <c r="F510" s="148"/>
      <c r="G510" s="148"/>
      <c r="H510" s="148"/>
      <c r="I510" s="148"/>
      <c r="J510" s="148"/>
      <c r="L510" s="134"/>
    </row>
    <row r="511">
      <c r="A511" s="148"/>
      <c r="B511" s="148"/>
      <c r="C511" s="148"/>
      <c r="D511" s="148"/>
      <c r="F511" s="148"/>
      <c r="G511" s="148"/>
      <c r="H511" s="148"/>
      <c r="I511" s="148"/>
      <c r="J511" s="148"/>
      <c r="L511" s="134"/>
    </row>
    <row r="512">
      <c r="A512" s="148"/>
      <c r="B512" s="148"/>
      <c r="C512" s="148"/>
      <c r="D512" s="148"/>
      <c r="F512" s="148"/>
      <c r="G512" s="148"/>
      <c r="H512" s="148"/>
      <c r="I512" s="148"/>
      <c r="J512" s="148"/>
      <c r="L512" s="134"/>
    </row>
    <row r="513">
      <c r="A513" s="148"/>
      <c r="B513" s="148"/>
      <c r="C513" s="148"/>
      <c r="D513" s="148"/>
      <c r="F513" s="148"/>
      <c r="G513" s="148"/>
      <c r="H513" s="148"/>
      <c r="I513" s="148"/>
      <c r="J513" s="148"/>
      <c r="L513" s="134"/>
    </row>
    <row r="514">
      <c r="A514" s="148"/>
      <c r="B514" s="148"/>
      <c r="C514" s="148"/>
      <c r="D514" s="148"/>
      <c r="F514" s="148"/>
      <c r="G514" s="148"/>
      <c r="H514" s="148"/>
      <c r="I514" s="148"/>
      <c r="J514" s="148"/>
      <c r="L514" s="134"/>
    </row>
    <row r="515">
      <c r="A515" s="148"/>
      <c r="B515" s="148"/>
      <c r="C515" s="148"/>
      <c r="D515" s="148"/>
      <c r="F515" s="148"/>
      <c r="G515" s="148"/>
      <c r="H515" s="148"/>
      <c r="I515" s="148"/>
      <c r="J515" s="148"/>
      <c r="L515" s="134"/>
    </row>
    <row r="516">
      <c r="A516" s="148"/>
      <c r="B516" s="148"/>
      <c r="C516" s="148"/>
      <c r="D516" s="148"/>
      <c r="F516" s="148"/>
      <c r="G516" s="148"/>
      <c r="H516" s="148"/>
      <c r="I516" s="148"/>
      <c r="J516" s="148"/>
      <c r="L516" s="134"/>
    </row>
    <row r="517">
      <c r="A517" s="148"/>
      <c r="B517" s="148"/>
      <c r="C517" s="148"/>
      <c r="D517" s="148"/>
      <c r="F517" s="148"/>
      <c r="G517" s="148"/>
      <c r="H517" s="148"/>
      <c r="I517" s="148"/>
      <c r="J517" s="148"/>
      <c r="L517" s="134"/>
    </row>
    <row r="518">
      <c r="A518" s="148"/>
      <c r="B518" s="148"/>
      <c r="C518" s="148"/>
      <c r="D518" s="148"/>
      <c r="F518" s="148"/>
      <c r="G518" s="148"/>
      <c r="H518" s="148"/>
      <c r="I518" s="148"/>
      <c r="J518" s="148"/>
      <c r="L518" s="134"/>
    </row>
    <row r="519">
      <c r="A519" s="148"/>
      <c r="B519" s="148"/>
      <c r="C519" s="148"/>
      <c r="D519" s="148"/>
      <c r="F519" s="148"/>
      <c r="G519" s="148"/>
      <c r="H519" s="148"/>
      <c r="I519" s="148"/>
      <c r="J519" s="148"/>
      <c r="L519" s="134"/>
    </row>
    <row r="520">
      <c r="A520" s="148"/>
      <c r="B520" s="148"/>
      <c r="C520" s="148"/>
      <c r="D520" s="148"/>
      <c r="F520" s="148"/>
      <c r="G520" s="148"/>
      <c r="H520" s="148"/>
      <c r="I520" s="148"/>
      <c r="J520" s="148"/>
      <c r="L520" s="134"/>
    </row>
    <row r="521">
      <c r="A521" s="148"/>
      <c r="B521" s="148"/>
      <c r="C521" s="148"/>
      <c r="D521" s="148"/>
      <c r="F521" s="148"/>
      <c r="G521" s="148"/>
      <c r="H521" s="148"/>
      <c r="I521" s="148"/>
      <c r="J521" s="148"/>
      <c r="L521" s="134"/>
    </row>
    <row r="522">
      <c r="A522" s="148"/>
      <c r="B522" s="148"/>
      <c r="C522" s="148"/>
      <c r="D522" s="148"/>
      <c r="F522" s="148"/>
      <c r="G522" s="148"/>
      <c r="H522" s="148"/>
      <c r="I522" s="148"/>
      <c r="J522" s="148"/>
      <c r="L522" s="134"/>
    </row>
    <row r="523">
      <c r="A523" s="148"/>
      <c r="B523" s="148"/>
      <c r="C523" s="148"/>
      <c r="D523" s="148"/>
      <c r="F523" s="148"/>
      <c r="G523" s="148"/>
      <c r="H523" s="148"/>
      <c r="I523" s="148"/>
      <c r="J523" s="148"/>
      <c r="L523" s="134"/>
    </row>
    <row r="524">
      <c r="A524" s="148"/>
      <c r="B524" s="148"/>
      <c r="C524" s="148"/>
      <c r="D524" s="148"/>
      <c r="F524" s="148"/>
      <c r="G524" s="148"/>
      <c r="H524" s="148"/>
      <c r="I524" s="148"/>
      <c r="J524" s="148"/>
      <c r="L524" s="134"/>
    </row>
    <row r="525">
      <c r="A525" s="148"/>
      <c r="B525" s="148"/>
      <c r="C525" s="148"/>
      <c r="D525" s="148"/>
      <c r="F525" s="148"/>
      <c r="G525" s="148"/>
      <c r="H525" s="148"/>
      <c r="I525" s="148"/>
      <c r="J525" s="148"/>
      <c r="L525" s="134"/>
    </row>
    <row r="526">
      <c r="A526" s="148"/>
      <c r="B526" s="148"/>
      <c r="C526" s="148"/>
      <c r="D526" s="148"/>
      <c r="F526" s="148"/>
      <c r="G526" s="148"/>
      <c r="H526" s="148"/>
      <c r="I526" s="148"/>
      <c r="J526" s="148"/>
      <c r="L526" s="134"/>
    </row>
    <row r="527">
      <c r="A527" s="148"/>
      <c r="B527" s="148"/>
      <c r="C527" s="148"/>
      <c r="D527" s="148"/>
      <c r="F527" s="148"/>
      <c r="G527" s="148"/>
      <c r="H527" s="148"/>
      <c r="I527" s="148"/>
      <c r="J527" s="148"/>
      <c r="L527" s="134"/>
    </row>
    <row r="528">
      <c r="A528" s="148"/>
      <c r="B528" s="148"/>
      <c r="C528" s="148"/>
      <c r="D528" s="148"/>
      <c r="F528" s="148"/>
      <c r="G528" s="148"/>
      <c r="H528" s="148"/>
      <c r="I528" s="148"/>
      <c r="J528" s="148"/>
      <c r="L528" s="134"/>
    </row>
    <row r="529">
      <c r="A529" s="148"/>
      <c r="B529" s="148"/>
      <c r="C529" s="148"/>
      <c r="D529" s="148"/>
      <c r="F529" s="148"/>
      <c r="G529" s="148"/>
      <c r="H529" s="148"/>
      <c r="I529" s="148"/>
      <c r="J529" s="148"/>
      <c r="L529" s="134"/>
    </row>
    <row r="530">
      <c r="A530" s="148"/>
      <c r="B530" s="148"/>
      <c r="C530" s="148"/>
      <c r="D530" s="148"/>
      <c r="F530" s="148"/>
      <c r="G530" s="148"/>
      <c r="H530" s="148"/>
      <c r="I530" s="148"/>
      <c r="J530" s="148"/>
      <c r="L530" s="134"/>
    </row>
    <row r="531">
      <c r="A531" s="148"/>
      <c r="B531" s="148"/>
      <c r="C531" s="148"/>
      <c r="D531" s="148"/>
      <c r="F531" s="148"/>
      <c r="G531" s="148"/>
      <c r="H531" s="148"/>
      <c r="I531" s="148"/>
      <c r="J531" s="148"/>
      <c r="L531" s="134"/>
    </row>
    <row r="532">
      <c r="A532" s="148"/>
      <c r="B532" s="148"/>
      <c r="C532" s="148"/>
      <c r="D532" s="148"/>
      <c r="F532" s="148"/>
      <c r="G532" s="148"/>
      <c r="H532" s="148"/>
      <c r="I532" s="148"/>
      <c r="J532" s="148"/>
      <c r="L532" s="134"/>
    </row>
    <row r="533">
      <c r="A533" s="148"/>
      <c r="B533" s="148"/>
      <c r="C533" s="148"/>
      <c r="D533" s="148"/>
      <c r="F533" s="148"/>
      <c r="G533" s="148"/>
      <c r="H533" s="148"/>
      <c r="I533" s="148"/>
      <c r="J533" s="148"/>
      <c r="L533" s="134"/>
    </row>
    <row r="534">
      <c r="A534" s="148"/>
      <c r="B534" s="148"/>
      <c r="C534" s="148"/>
      <c r="D534" s="148"/>
      <c r="F534" s="148"/>
      <c r="G534" s="148"/>
      <c r="H534" s="148"/>
      <c r="I534" s="148"/>
      <c r="J534" s="148"/>
      <c r="L534" s="134"/>
    </row>
    <row r="535">
      <c r="A535" s="148"/>
      <c r="B535" s="148"/>
      <c r="C535" s="148"/>
      <c r="D535" s="148"/>
      <c r="F535" s="148"/>
      <c r="G535" s="148"/>
      <c r="H535" s="148"/>
      <c r="I535" s="148"/>
      <c r="J535" s="148"/>
      <c r="L535" s="134"/>
    </row>
    <row r="536">
      <c r="A536" s="148"/>
      <c r="B536" s="148"/>
      <c r="C536" s="148"/>
      <c r="D536" s="148"/>
      <c r="F536" s="148"/>
      <c r="G536" s="148"/>
      <c r="H536" s="148"/>
      <c r="I536" s="148"/>
      <c r="J536" s="148"/>
      <c r="L536" s="134"/>
    </row>
    <row r="537">
      <c r="A537" s="148"/>
      <c r="B537" s="148"/>
      <c r="C537" s="148"/>
      <c r="D537" s="148"/>
      <c r="F537" s="148"/>
      <c r="G537" s="148"/>
      <c r="H537" s="148"/>
      <c r="I537" s="148"/>
      <c r="J537" s="148"/>
      <c r="L537" s="134"/>
    </row>
    <row r="538">
      <c r="A538" s="148"/>
      <c r="B538" s="148"/>
      <c r="C538" s="148"/>
      <c r="D538" s="148"/>
      <c r="F538" s="148"/>
      <c r="G538" s="148"/>
      <c r="H538" s="148"/>
      <c r="I538" s="148"/>
      <c r="J538" s="148"/>
      <c r="L538" s="134"/>
    </row>
    <row r="539">
      <c r="A539" s="148"/>
      <c r="B539" s="148"/>
      <c r="C539" s="148"/>
      <c r="D539" s="148"/>
      <c r="F539" s="148"/>
      <c r="G539" s="148"/>
      <c r="H539" s="148"/>
      <c r="I539" s="148"/>
      <c r="J539" s="148"/>
      <c r="L539" s="134"/>
    </row>
    <row r="540">
      <c r="A540" s="148"/>
      <c r="B540" s="148"/>
      <c r="C540" s="148"/>
      <c r="D540" s="148"/>
      <c r="F540" s="148"/>
      <c r="G540" s="148"/>
      <c r="H540" s="148"/>
      <c r="I540" s="148"/>
      <c r="J540" s="148"/>
      <c r="L540" s="134"/>
    </row>
    <row r="541">
      <c r="A541" s="148"/>
      <c r="B541" s="148"/>
      <c r="C541" s="148"/>
      <c r="D541" s="148"/>
      <c r="F541" s="148"/>
      <c r="G541" s="148"/>
      <c r="H541" s="148"/>
      <c r="I541" s="148"/>
      <c r="J541" s="148"/>
      <c r="L541" s="134"/>
    </row>
    <row r="542">
      <c r="A542" s="148"/>
      <c r="B542" s="148"/>
      <c r="C542" s="148"/>
      <c r="D542" s="148"/>
      <c r="F542" s="148"/>
      <c r="G542" s="148"/>
      <c r="H542" s="148"/>
      <c r="I542" s="148"/>
      <c r="J542" s="148"/>
      <c r="L542" s="134"/>
    </row>
    <row r="543">
      <c r="A543" s="148"/>
      <c r="B543" s="148"/>
      <c r="C543" s="148"/>
      <c r="D543" s="148"/>
      <c r="F543" s="148"/>
      <c r="G543" s="148"/>
      <c r="H543" s="148"/>
      <c r="I543" s="148"/>
      <c r="J543" s="148"/>
      <c r="L543" s="134"/>
    </row>
    <row r="544">
      <c r="A544" s="148"/>
      <c r="B544" s="148"/>
      <c r="C544" s="148"/>
      <c r="D544" s="148"/>
      <c r="F544" s="148"/>
      <c r="G544" s="148"/>
      <c r="H544" s="148"/>
      <c r="I544" s="148"/>
      <c r="J544" s="148"/>
      <c r="L544" s="134"/>
    </row>
    <row r="545">
      <c r="A545" s="148"/>
      <c r="B545" s="148"/>
      <c r="C545" s="148"/>
      <c r="D545" s="148"/>
      <c r="F545" s="148"/>
      <c r="G545" s="148"/>
      <c r="H545" s="148"/>
      <c r="I545" s="148"/>
      <c r="J545" s="148"/>
      <c r="L545" s="134"/>
    </row>
    <row r="546">
      <c r="A546" s="148"/>
      <c r="B546" s="148"/>
      <c r="C546" s="148"/>
      <c r="D546" s="148"/>
      <c r="F546" s="148"/>
      <c r="G546" s="148"/>
      <c r="H546" s="148"/>
      <c r="I546" s="148"/>
      <c r="J546" s="148"/>
      <c r="L546" s="134"/>
    </row>
    <row r="547">
      <c r="A547" s="148"/>
      <c r="B547" s="148"/>
      <c r="C547" s="148"/>
      <c r="D547" s="148"/>
      <c r="F547" s="148"/>
      <c r="G547" s="148"/>
      <c r="H547" s="148"/>
      <c r="I547" s="148"/>
      <c r="J547" s="148"/>
      <c r="L547" s="134"/>
    </row>
    <row r="548">
      <c r="A548" s="148"/>
      <c r="B548" s="148"/>
      <c r="C548" s="148"/>
      <c r="D548" s="148"/>
      <c r="F548" s="148"/>
      <c r="G548" s="148"/>
      <c r="H548" s="148"/>
      <c r="I548" s="148"/>
      <c r="J548" s="148"/>
      <c r="L548" s="134"/>
    </row>
    <row r="549">
      <c r="A549" s="148"/>
      <c r="B549" s="148"/>
      <c r="C549" s="148"/>
      <c r="D549" s="148"/>
      <c r="F549" s="148"/>
      <c r="G549" s="148"/>
      <c r="H549" s="148"/>
      <c r="I549" s="148"/>
      <c r="J549" s="148"/>
      <c r="L549" s="134"/>
    </row>
    <row r="550">
      <c r="A550" s="148"/>
      <c r="B550" s="148"/>
      <c r="C550" s="148"/>
      <c r="D550" s="148"/>
      <c r="F550" s="148"/>
      <c r="G550" s="148"/>
      <c r="H550" s="148"/>
      <c r="I550" s="148"/>
      <c r="J550" s="148"/>
      <c r="L550" s="134"/>
    </row>
    <row r="551">
      <c r="A551" s="148"/>
      <c r="B551" s="148"/>
      <c r="C551" s="148"/>
      <c r="D551" s="148"/>
      <c r="F551" s="148"/>
      <c r="G551" s="148"/>
      <c r="H551" s="148"/>
      <c r="I551" s="148"/>
      <c r="J551" s="148"/>
      <c r="L551" s="134"/>
    </row>
    <row r="552">
      <c r="A552" s="148"/>
      <c r="B552" s="148"/>
      <c r="C552" s="148"/>
      <c r="D552" s="148"/>
      <c r="F552" s="148"/>
      <c r="G552" s="148"/>
      <c r="H552" s="148"/>
      <c r="I552" s="148"/>
      <c r="J552" s="148"/>
      <c r="L552" s="134"/>
    </row>
    <row r="553">
      <c r="A553" s="148"/>
      <c r="B553" s="148"/>
      <c r="C553" s="148"/>
      <c r="D553" s="148"/>
      <c r="F553" s="148"/>
      <c r="G553" s="148"/>
      <c r="H553" s="148"/>
      <c r="I553" s="148"/>
      <c r="J553" s="148"/>
      <c r="L553" s="134"/>
    </row>
    <row r="554">
      <c r="A554" s="148"/>
      <c r="B554" s="148"/>
      <c r="C554" s="148"/>
      <c r="D554" s="148"/>
      <c r="F554" s="148"/>
      <c r="G554" s="148"/>
      <c r="H554" s="148"/>
      <c r="I554" s="148"/>
      <c r="J554" s="148"/>
      <c r="L554" s="134"/>
    </row>
    <row r="555">
      <c r="A555" s="148"/>
      <c r="B555" s="148"/>
      <c r="C555" s="148"/>
      <c r="D555" s="148"/>
      <c r="F555" s="148"/>
      <c r="G555" s="148"/>
      <c r="H555" s="148"/>
      <c r="I555" s="148"/>
      <c r="J555" s="148"/>
      <c r="L555" s="134"/>
    </row>
    <row r="556">
      <c r="A556" s="148"/>
      <c r="B556" s="148"/>
      <c r="C556" s="148"/>
      <c r="D556" s="148"/>
      <c r="F556" s="148"/>
      <c r="G556" s="148"/>
      <c r="H556" s="148"/>
      <c r="I556" s="148"/>
      <c r="J556" s="148"/>
      <c r="L556" s="134"/>
    </row>
    <row r="557">
      <c r="A557" s="148"/>
      <c r="B557" s="148"/>
      <c r="C557" s="148"/>
      <c r="D557" s="148"/>
      <c r="F557" s="148"/>
      <c r="G557" s="148"/>
      <c r="H557" s="148"/>
      <c r="I557" s="148"/>
      <c r="J557" s="148"/>
      <c r="L557" s="134"/>
    </row>
    <row r="558">
      <c r="A558" s="148"/>
      <c r="B558" s="148"/>
      <c r="C558" s="148"/>
      <c r="D558" s="148"/>
      <c r="F558" s="148"/>
      <c r="G558" s="148"/>
      <c r="H558" s="148"/>
      <c r="I558" s="148"/>
      <c r="J558" s="148"/>
      <c r="L558" s="134"/>
    </row>
    <row r="559">
      <c r="A559" s="148"/>
      <c r="B559" s="148"/>
      <c r="C559" s="148"/>
      <c r="D559" s="148"/>
      <c r="F559" s="148"/>
      <c r="G559" s="148"/>
      <c r="H559" s="148"/>
      <c r="I559" s="148"/>
      <c r="J559" s="148"/>
      <c r="L559" s="134"/>
    </row>
    <row r="560">
      <c r="A560" s="148"/>
      <c r="B560" s="148"/>
      <c r="C560" s="148"/>
      <c r="D560" s="148"/>
      <c r="F560" s="148"/>
      <c r="G560" s="148"/>
      <c r="H560" s="148"/>
      <c r="I560" s="148"/>
      <c r="J560" s="148"/>
      <c r="L560" s="134"/>
    </row>
    <row r="561">
      <c r="A561" s="148"/>
      <c r="B561" s="148"/>
      <c r="C561" s="148"/>
      <c r="D561" s="148"/>
      <c r="F561" s="148"/>
      <c r="G561" s="148"/>
      <c r="H561" s="148"/>
      <c r="I561" s="148"/>
      <c r="J561" s="148"/>
      <c r="L561" s="134"/>
    </row>
    <row r="562">
      <c r="A562" s="148"/>
      <c r="B562" s="148"/>
      <c r="C562" s="148"/>
      <c r="D562" s="148"/>
      <c r="F562" s="148"/>
      <c r="G562" s="148"/>
      <c r="H562" s="148"/>
      <c r="I562" s="148"/>
      <c r="J562" s="148"/>
      <c r="L562" s="134"/>
    </row>
    <row r="563">
      <c r="A563" s="148"/>
      <c r="B563" s="148"/>
      <c r="C563" s="148"/>
      <c r="D563" s="148"/>
      <c r="F563" s="148"/>
      <c r="G563" s="148"/>
      <c r="H563" s="148"/>
      <c r="I563" s="148"/>
      <c r="J563" s="148"/>
      <c r="L563" s="134"/>
    </row>
    <row r="564">
      <c r="A564" s="148"/>
      <c r="B564" s="148"/>
      <c r="C564" s="148"/>
      <c r="D564" s="148"/>
      <c r="F564" s="148"/>
      <c r="G564" s="148"/>
      <c r="H564" s="148"/>
      <c r="I564" s="148"/>
      <c r="J564" s="148"/>
      <c r="L564" s="134"/>
    </row>
    <row r="565">
      <c r="A565" s="148"/>
      <c r="B565" s="148"/>
      <c r="C565" s="148"/>
      <c r="D565" s="148"/>
      <c r="F565" s="148"/>
      <c r="G565" s="148"/>
      <c r="H565" s="148"/>
      <c r="I565" s="148"/>
      <c r="J565" s="148"/>
      <c r="L565" s="134"/>
    </row>
    <row r="566">
      <c r="A566" s="148"/>
      <c r="B566" s="148"/>
      <c r="C566" s="148"/>
      <c r="D566" s="148"/>
      <c r="F566" s="148"/>
      <c r="G566" s="148"/>
      <c r="H566" s="148"/>
      <c r="I566" s="148"/>
      <c r="J566" s="148"/>
      <c r="L566" s="134"/>
    </row>
    <row r="567">
      <c r="A567" s="148"/>
      <c r="B567" s="148"/>
      <c r="C567" s="148"/>
      <c r="D567" s="148"/>
      <c r="F567" s="148"/>
      <c r="G567" s="148"/>
      <c r="H567" s="148"/>
      <c r="I567" s="148"/>
      <c r="J567" s="148"/>
      <c r="L567" s="134"/>
    </row>
    <row r="568">
      <c r="A568" s="148"/>
      <c r="B568" s="148"/>
      <c r="C568" s="148"/>
      <c r="D568" s="148"/>
      <c r="F568" s="148"/>
      <c r="G568" s="148"/>
      <c r="H568" s="148"/>
      <c r="I568" s="148"/>
      <c r="J568" s="148"/>
      <c r="L568" s="134"/>
    </row>
    <row r="569">
      <c r="A569" s="148"/>
      <c r="B569" s="148"/>
      <c r="C569" s="148"/>
      <c r="D569" s="148"/>
      <c r="F569" s="148"/>
      <c r="G569" s="148"/>
      <c r="H569" s="148"/>
      <c r="I569" s="148"/>
      <c r="J569" s="148"/>
      <c r="L569" s="134"/>
    </row>
    <row r="570">
      <c r="A570" s="148"/>
      <c r="B570" s="148"/>
      <c r="C570" s="148"/>
      <c r="D570" s="148"/>
      <c r="F570" s="148"/>
      <c r="G570" s="148"/>
      <c r="H570" s="148"/>
      <c r="I570" s="148"/>
      <c r="J570" s="148"/>
      <c r="L570" s="134"/>
    </row>
    <row r="571">
      <c r="A571" s="148"/>
      <c r="B571" s="148"/>
      <c r="C571" s="148"/>
      <c r="D571" s="148"/>
      <c r="F571" s="148"/>
      <c r="G571" s="148"/>
      <c r="H571" s="148"/>
      <c r="I571" s="148"/>
      <c r="J571" s="148"/>
      <c r="L571" s="134"/>
    </row>
    <row r="572">
      <c r="A572" s="148"/>
      <c r="B572" s="148"/>
      <c r="C572" s="148"/>
      <c r="D572" s="148"/>
      <c r="F572" s="148"/>
      <c r="G572" s="148"/>
      <c r="H572" s="148"/>
      <c r="I572" s="148"/>
      <c r="J572" s="148"/>
      <c r="L572" s="134"/>
    </row>
    <row r="573">
      <c r="A573" s="148"/>
      <c r="B573" s="148"/>
      <c r="C573" s="148"/>
      <c r="D573" s="148"/>
      <c r="F573" s="148"/>
      <c r="G573" s="148"/>
      <c r="H573" s="148"/>
      <c r="I573" s="148"/>
      <c r="J573" s="148"/>
      <c r="L573" s="134"/>
    </row>
    <row r="574">
      <c r="A574" s="148"/>
      <c r="B574" s="148"/>
      <c r="C574" s="148"/>
      <c r="D574" s="148"/>
      <c r="F574" s="148"/>
      <c r="G574" s="148"/>
      <c r="H574" s="148"/>
      <c r="I574" s="148"/>
      <c r="J574" s="148"/>
      <c r="L574" s="134"/>
    </row>
    <row r="575">
      <c r="A575" s="148"/>
      <c r="B575" s="148"/>
      <c r="C575" s="148"/>
      <c r="D575" s="148"/>
      <c r="F575" s="148"/>
      <c r="G575" s="148"/>
      <c r="H575" s="148"/>
      <c r="I575" s="148"/>
      <c r="J575" s="148"/>
      <c r="L575" s="134"/>
    </row>
    <row r="576">
      <c r="A576" s="148"/>
      <c r="B576" s="148"/>
      <c r="C576" s="148"/>
      <c r="D576" s="148"/>
      <c r="F576" s="148"/>
      <c r="G576" s="148"/>
      <c r="H576" s="148"/>
      <c r="I576" s="148"/>
      <c r="J576" s="148"/>
      <c r="L576" s="134"/>
    </row>
    <row r="577">
      <c r="A577" s="148"/>
      <c r="B577" s="148"/>
      <c r="C577" s="148"/>
      <c r="D577" s="148"/>
      <c r="F577" s="148"/>
      <c r="G577" s="148"/>
      <c r="H577" s="148"/>
      <c r="I577" s="148"/>
      <c r="J577" s="148"/>
      <c r="L577" s="134"/>
    </row>
    <row r="578">
      <c r="A578" s="148"/>
      <c r="B578" s="148"/>
      <c r="C578" s="148"/>
      <c r="D578" s="148"/>
      <c r="F578" s="148"/>
      <c r="G578" s="148"/>
      <c r="H578" s="148"/>
      <c r="I578" s="148"/>
      <c r="J578" s="148"/>
      <c r="L578" s="134"/>
    </row>
    <row r="579">
      <c r="A579" s="148"/>
      <c r="B579" s="148"/>
      <c r="C579" s="148"/>
      <c r="D579" s="148"/>
      <c r="F579" s="148"/>
      <c r="G579" s="148"/>
      <c r="H579" s="148"/>
      <c r="I579" s="148"/>
      <c r="J579" s="148"/>
      <c r="L579" s="134"/>
    </row>
    <row r="580">
      <c r="A580" s="148"/>
      <c r="B580" s="148"/>
      <c r="C580" s="148"/>
      <c r="D580" s="148"/>
      <c r="F580" s="148"/>
      <c r="G580" s="148"/>
      <c r="H580" s="148"/>
      <c r="I580" s="148"/>
      <c r="J580" s="148"/>
      <c r="L580" s="134"/>
    </row>
    <row r="581">
      <c r="A581" s="148"/>
      <c r="B581" s="148"/>
      <c r="C581" s="148"/>
      <c r="D581" s="148"/>
      <c r="F581" s="148"/>
      <c r="G581" s="148"/>
      <c r="H581" s="148"/>
      <c r="I581" s="148"/>
      <c r="J581" s="148"/>
      <c r="L581" s="134"/>
    </row>
    <row r="582">
      <c r="A582" s="148"/>
      <c r="B582" s="148"/>
      <c r="C582" s="148"/>
      <c r="D582" s="148"/>
      <c r="F582" s="148"/>
      <c r="G582" s="148"/>
      <c r="H582" s="148"/>
      <c r="I582" s="148"/>
      <c r="J582" s="148"/>
      <c r="L582" s="134"/>
    </row>
    <row r="583">
      <c r="A583" s="148"/>
      <c r="B583" s="148"/>
      <c r="C583" s="148"/>
      <c r="D583" s="148"/>
      <c r="F583" s="148"/>
      <c r="G583" s="148"/>
      <c r="H583" s="148"/>
      <c r="I583" s="148"/>
      <c r="J583" s="148"/>
      <c r="L583" s="134"/>
    </row>
    <row r="584">
      <c r="A584" s="148"/>
      <c r="B584" s="148"/>
      <c r="C584" s="148"/>
      <c r="D584" s="148"/>
      <c r="F584" s="148"/>
      <c r="G584" s="148"/>
      <c r="H584" s="148"/>
      <c r="I584" s="148"/>
      <c r="J584" s="148"/>
      <c r="L584" s="134"/>
    </row>
    <row r="585">
      <c r="A585" s="148"/>
      <c r="B585" s="148"/>
      <c r="C585" s="148"/>
      <c r="D585" s="148"/>
      <c r="F585" s="148"/>
      <c r="G585" s="148"/>
      <c r="H585" s="148"/>
      <c r="I585" s="148"/>
      <c r="J585" s="148"/>
      <c r="L585" s="134"/>
    </row>
    <row r="586">
      <c r="A586" s="148"/>
      <c r="B586" s="148"/>
      <c r="C586" s="148"/>
      <c r="D586" s="148"/>
      <c r="F586" s="148"/>
      <c r="G586" s="148"/>
      <c r="H586" s="148"/>
      <c r="I586" s="148"/>
      <c r="J586" s="148"/>
      <c r="L586" s="134"/>
    </row>
    <row r="587">
      <c r="A587" s="148"/>
      <c r="B587" s="148"/>
      <c r="C587" s="148"/>
      <c r="D587" s="148"/>
      <c r="F587" s="148"/>
      <c r="G587" s="148"/>
      <c r="H587" s="148"/>
      <c r="I587" s="148"/>
      <c r="J587" s="148"/>
      <c r="L587" s="134"/>
    </row>
    <row r="588">
      <c r="A588" s="148"/>
      <c r="B588" s="148"/>
      <c r="C588" s="148"/>
      <c r="D588" s="148"/>
      <c r="F588" s="148"/>
      <c r="G588" s="148"/>
      <c r="H588" s="148"/>
      <c r="I588" s="148"/>
      <c r="J588" s="148"/>
      <c r="L588" s="134"/>
    </row>
    <row r="589">
      <c r="A589" s="148"/>
      <c r="B589" s="148"/>
      <c r="C589" s="148"/>
      <c r="D589" s="148"/>
      <c r="F589" s="148"/>
      <c r="G589" s="148"/>
      <c r="H589" s="148"/>
      <c r="I589" s="148"/>
      <c r="J589" s="148"/>
      <c r="L589" s="134"/>
    </row>
    <row r="590">
      <c r="A590" s="148"/>
      <c r="B590" s="148"/>
      <c r="C590" s="148"/>
      <c r="D590" s="148"/>
      <c r="F590" s="148"/>
      <c r="G590" s="148"/>
      <c r="H590" s="148"/>
      <c r="I590" s="148"/>
      <c r="J590" s="148"/>
      <c r="L590" s="134"/>
    </row>
    <row r="591">
      <c r="A591" s="148"/>
      <c r="B591" s="148"/>
      <c r="C591" s="148"/>
      <c r="D591" s="148"/>
      <c r="F591" s="148"/>
      <c r="G591" s="148"/>
      <c r="H591" s="148"/>
      <c r="I591" s="148"/>
      <c r="J591" s="148"/>
      <c r="L591" s="134"/>
    </row>
    <row r="592">
      <c r="A592" s="148"/>
      <c r="B592" s="148"/>
      <c r="C592" s="148"/>
      <c r="D592" s="148"/>
      <c r="F592" s="148"/>
      <c r="G592" s="148"/>
      <c r="H592" s="148"/>
      <c r="I592" s="148"/>
      <c r="J592" s="148"/>
      <c r="L592" s="134"/>
    </row>
    <row r="593">
      <c r="A593" s="148"/>
      <c r="B593" s="148"/>
      <c r="C593" s="148"/>
      <c r="D593" s="148"/>
      <c r="F593" s="148"/>
      <c r="G593" s="148"/>
      <c r="H593" s="148"/>
      <c r="I593" s="148"/>
      <c r="J593" s="148"/>
      <c r="L593" s="134"/>
    </row>
    <row r="594">
      <c r="A594" s="148"/>
      <c r="B594" s="148"/>
      <c r="C594" s="148"/>
      <c r="D594" s="148"/>
      <c r="F594" s="148"/>
      <c r="G594" s="148"/>
      <c r="H594" s="148"/>
      <c r="I594" s="148"/>
      <c r="J594" s="148"/>
      <c r="L594" s="134"/>
    </row>
    <row r="595">
      <c r="A595" s="148"/>
      <c r="B595" s="148"/>
      <c r="C595" s="148"/>
      <c r="D595" s="148"/>
      <c r="F595" s="148"/>
      <c r="G595" s="148"/>
      <c r="H595" s="148"/>
      <c r="I595" s="148"/>
      <c r="J595" s="148"/>
      <c r="L595" s="134"/>
    </row>
    <row r="596">
      <c r="A596" s="148"/>
      <c r="B596" s="148"/>
      <c r="C596" s="148"/>
      <c r="D596" s="148"/>
      <c r="F596" s="148"/>
      <c r="G596" s="148"/>
      <c r="H596" s="148"/>
      <c r="I596" s="148"/>
      <c r="J596" s="148"/>
      <c r="L596" s="134"/>
    </row>
    <row r="597">
      <c r="A597" s="148"/>
      <c r="B597" s="148"/>
      <c r="C597" s="148"/>
      <c r="D597" s="148"/>
      <c r="F597" s="148"/>
      <c r="G597" s="148"/>
      <c r="H597" s="148"/>
      <c r="I597" s="148"/>
      <c r="J597" s="148"/>
      <c r="L597" s="134"/>
    </row>
    <row r="598">
      <c r="A598" s="148"/>
      <c r="B598" s="148"/>
      <c r="C598" s="148"/>
      <c r="D598" s="148"/>
      <c r="F598" s="148"/>
      <c r="G598" s="148"/>
      <c r="H598" s="148"/>
      <c r="I598" s="148"/>
      <c r="J598" s="148"/>
      <c r="L598" s="134"/>
    </row>
    <row r="599">
      <c r="A599" s="148"/>
      <c r="B599" s="148"/>
      <c r="C599" s="148"/>
      <c r="D599" s="148"/>
      <c r="F599" s="148"/>
      <c r="G599" s="148"/>
      <c r="H599" s="148"/>
      <c r="I599" s="148"/>
      <c r="J599" s="148"/>
      <c r="L599" s="134"/>
    </row>
    <row r="600">
      <c r="A600" s="148"/>
      <c r="B600" s="148"/>
      <c r="C600" s="148"/>
      <c r="D600" s="148"/>
      <c r="F600" s="148"/>
      <c r="G600" s="148"/>
      <c r="H600" s="148"/>
      <c r="I600" s="148"/>
      <c r="J600" s="148"/>
      <c r="L600" s="134"/>
    </row>
    <row r="601">
      <c r="A601" s="148"/>
      <c r="B601" s="148"/>
      <c r="C601" s="148"/>
      <c r="D601" s="148"/>
      <c r="F601" s="148"/>
      <c r="G601" s="148"/>
      <c r="H601" s="148"/>
      <c r="I601" s="148"/>
      <c r="J601" s="148"/>
      <c r="L601" s="134"/>
    </row>
    <row r="602">
      <c r="A602" s="148"/>
      <c r="B602" s="148"/>
      <c r="C602" s="148"/>
      <c r="D602" s="148"/>
      <c r="F602" s="148"/>
      <c r="G602" s="148"/>
      <c r="H602" s="148"/>
      <c r="I602" s="148"/>
      <c r="J602" s="148"/>
      <c r="L602" s="134"/>
    </row>
    <row r="603">
      <c r="A603" s="148"/>
      <c r="B603" s="148"/>
      <c r="C603" s="148"/>
      <c r="D603" s="148"/>
      <c r="F603" s="148"/>
      <c r="G603" s="148"/>
      <c r="H603" s="148"/>
      <c r="I603" s="148"/>
      <c r="J603" s="148"/>
      <c r="L603" s="134"/>
    </row>
    <row r="604">
      <c r="A604" s="148"/>
      <c r="B604" s="148"/>
      <c r="C604" s="148"/>
      <c r="D604" s="148"/>
      <c r="F604" s="148"/>
      <c r="G604" s="148"/>
      <c r="H604" s="148"/>
      <c r="I604" s="148"/>
      <c r="J604" s="148"/>
      <c r="L604" s="134"/>
    </row>
    <row r="605">
      <c r="A605" s="148"/>
      <c r="B605" s="148"/>
      <c r="C605" s="148"/>
      <c r="D605" s="148"/>
      <c r="F605" s="148"/>
      <c r="G605" s="148"/>
      <c r="H605" s="148"/>
      <c r="I605" s="148"/>
      <c r="J605" s="148"/>
      <c r="L605" s="134"/>
    </row>
    <row r="606">
      <c r="A606" s="148"/>
      <c r="B606" s="148"/>
      <c r="C606" s="148"/>
      <c r="D606" s="148"/>
      <c r="F606" s="148"/>
      <c r="G606" s="148"/>
      <c r="H606" s="148"/>
      <c r="I606" s="148"/>
      <c r="J606" s="148"/>
      <c r="L606" s="134"/>
    </row>
    <row r="607">
      <c r="A607" s="148"/>
      <c r="B607" s="148"/>
      <c r="C607" s="148"/>
      <c r="D607" s="148"/>
      <c r="F607" s="148"/>
      <c r="G607" s="148"/>
      <c r="H607" s="148"/>
      <c r="I607" s="148"/>
      <c r="J607" s="148"/>
      <c r="L607" s="134"/>
    </row>
    <row r="608">
      <c r="A608" s="148"/>
      <c r="B608" s="148"/>
      <c r="C608" s="148"/>
      <c r="D608" s="148"/>
      <c r="F608" s="148"/>
      <c r="G608" s="148"/>
      <c r="H608" s="148"/>
      <c r="I608" s="148"/>
      <c r="J608" s="148"/>
      <c r="L608" s="134"/>
    </row>
    <row r="609">
      <c r="A609" s="148"/>
      <c r="B609" s="148"/>
      <c r="C609" s="148"/>
      <c r="D609" s="148"/>
      <c r="F609" s="148"/>
      <c r="G609" s="148"/>
      <c r="H609" s="148"/>
      <c r="I609" s="148"/>
      <c r="J609" s="148"/>
      <c r="L609" s="134"/>
    </row>
    <row r="610">
      <c r="A610" s="148"/>
      <c r="B610" s="148"/>
      <c r="C610" s="148"/>
      <c r="D610" s="148"/>
      <c r="F610" s="148"/>
      <c r="G610" s="148"/>
      <c r="H610" s="148"/>
      <c r="I610" s="148"/>
      <c r="J610" s="148"/>
      <c r="L610" s="134"/>
    </row>
    <row r="611">
      <c r="A611" s="148"/>
      <c r="B611" s="148"/>
      <c r="C611" s="148"/>
      <c r="D611" s="148"/>
      <c r="F611" s="148"/>
      <c r="G611" s="148"/>
      <c r="H611" s="148"/>
      <c r="I611" s="148"/>
      <c r="J611" s="148"/>
      <c r="L611" s="134"/>
    </row>
    <row r="612">
      <c r="A612" s="148"/>
      <c r="B612" s="148"/>
      <c r="C612" s="148"/>
      <c r="D612" s="148"/>
      <c r="F612" s="148"/>
      <c r="G612" s="148"/>
      <c r="H612" s="148"/>
      <c r="I612" s="148"/>
      <c r="J612" s="148"/>
      <c r="L612" s="134"/>
    </row>
    <row r="613">
      <c r="A613" s="148"/>
      <c r="B613" s="148"/>
      <c r="C613" s="148"/>
      <c r="D613" s="148"/>
      <c r="F613" s="148"/>
      <c r="G613" s="148"/>
      <c r="H613" s="148"/>
      <c r="I613" s="148"/>
      <c r="J613" s="148"/>
      <c r="L613" s="134"/>
    </row>
    <row r="614">
      <c r="A614" s="148"/>
      <c r="B614" s="148"/>
      <c r="C614" s="148"/>
      <c r="D614" s="148"/>
      <c r="F614" s="148"/>
      <c r="G614" s="148"/>
      <c r="H614" s="148"/>
      <c r="I614" s="148"/>
      <c r="J614" s="148"/>
      <c r="L614" s="134"/>
    </row>
    <row r="615">
      <c r="A615" s="148"/>
      <c r="B615" s="148"/>
      <c r="C615" s="148"/>
      <c r="D615" s="148"/>
      <c r="F615" s="148"/>
      <c r="G615" s="148"/>
      <c r="H615" s="148"/>
      <c r="I615" s="148"/>
      <c r="J615" s="148"/>
      <c r="L615" s="134"/>
    </row>
    <row r="616">
      <c r="A616" s="148"/>
      <c r="B616" s="148"/>
      <c r="C616" s="148"/>
      <c r="D616" s="148"/>
      <c r="F616" s="148"/>
      <c r="G616" s="148"/>
      <c r="H616" s="148"/>
      <c r="I616" s="148"/>
      <c r="J616" s="148"/>
      <c r="L616" s="134"/>
    </row>
    <row r="617">
      <c r="A617" s="148"/>
      <c r="B617" s="148"/>
      <c r="C617" s="148"/>
      <c r="D617" s="148"/>
      <c r="F617" s="148"/>
      <c r="G617" s="148"/>
      <c r="H617" s="148"/>
      <c r="I617" s="148"/>
      <c r="J617" s="148"/>
      <c r="L617" s="134"/>
    </row>
    <row r="618">
      <c r="A618" s="148"/>
      <c r="B618" s="148"/>
      <c r="C618" s="148"/>
      <c r="D618" s="148"/>
      <c r="F618" s="148"/>
      <c r="G618" s="148"/>
      <c r="H618" s="148"/>
      <c r="I618" s="148"/>
      <c r="J618" s="148"/>
      <c r="L618" s="134"/>
    </row>
    <row r="619">
      <c r="A619" s="148"/>
      <c r="B619" s="148"/>
      <c r="C619" s="148"/>
      <c r="D619" s="148"/>
      <c r="F619" s="148"/>
      <c r="G619" s="148"/>
      <c r="H619" s="148"/>
      <c r="I619" s="148"/>
      <c r="J619" s="148"/>
      <c r="L619" s="134"/>
    </row>
    <row r="620">
      <c r="A620" s="148"/>
      <c r="B620" s="148"/>
      <c r="C620" s="148"/>
      <c r="D620" s="148"/>
      <c r="F620" s="148"/>
      <c r="G620" s="148"/>
      <c r="H620" s="148"/>
      <c r="I620" s="148"/>
      <c r="J620" s="148"/>
      <c r="L620" s="134"/>
    </row>
    <row r="621">
      <c r="A621" s="148"/>
      <c r="B621" s="148"/>
      <c r="C621" s="148"/>
      <c r="D621" s="148"/>
      <c r="F621" s="148"/>
      <c r="G621" s="148"/>
      <c r="H621" s="148"/>
      <c r="I621" s="148"/>
      <c r="J621" s="148"/>
      <c r="L621" s="134"/>
    </row>
    <row r="622">
      <c r="A622" s="148"/>
      <c r="B622" s="148"/>
      <c r="C622" s="148"/>
      <c r="D622" s="148"/>
      <c r="F622" s="148"/>
      <c r="G622" s="148"/>
      <c r="H622" s="148"/>
      <c r="I622" s="148"/>
      <c r="J622" s="148"/>
      <c r="L622" s="134"/>
    </row>
    <row r="623">
      <c r="A623" s="148"/>
      <c r="B623" s="148"/>
      <c r="C623" s="148"/>
      <c r="D623" s="148"/>
      <c r="F623" s="148"/>
      <c r="G623" s="148"/>
      <c r="H623" s="148"/>
      <c r="I623" s="148"/>
      <c r="J623" s="148"/>
      <c r="L623" s="134"/>
    </row>
    <row r="624">
      <c r="A624" s="148"/>
      <c r="B624" s="148"/>
      <c r="C624" s="148"/>
      <c r="D624" s="148"/>
      <c r="F624" s="148"/>
      <c r="G624" s="148"/>
      <c r="H624" s="148"/>
      <c r="I624" s="148"/>
      <c r="J624" s="148"/>
      <c r="L624" s="134"/>
    </row>
    <row r="625">
      <c r="A625" s="148"/>
      <c r="B625" s="148"/>
      <c r="C625" s="148"/>
      <c r="D625" s="148"/>
      <c r="F625" s="148"/>
      <c r="G625" s="148"/>
      <c r="H625" s="148"/>
      <c r="I625" s="148"/>
      <c r="J625" s="148"/>
      <c r="L625" s="134"/>
    </row>
    <row r="626">
      <c r="A626" s="148"/>
      <c r="B626" s="148"/>
      <c r="C626" s="148"/>
      <c r="D626" s="148"/>
      <c r="F626" s="148"/>
      <c r="G626" s="148"/>
      <c r="H626" s="148"/>
      <c r="I626" s="148"/>
      <c r="J626" s="148"/>
      <c r="L626" s="134"/>
    </row>
    <row r="627">
      <c r="A627" s="148"/>
      <c r="B627" s="148"/>
      <c r="C627" s="148"/>
      <c r="D627" s="148"/>
      <c r="F627" s="148"/>
      <c r="G627" s="148"/>
      <c r="H627" s="148"/>
      <c r="I627" s="148"/>
      <c r="J627" s="148"/>
      <c r="L627" s="134"/>
    </row>
    <row r="628">
      <c r="A628" s="148"/>
      <c r="B628" s="148"/>
      <c r="C628" s="148"/>
      <c r="D628" s="148"/>
      <c r="F628" s="148"/>
      <c r="G628" s="148"/>
      <c r="H628" s="148"/>
      <c r="I628" s="148"/>
      <c r="J628" s="148"/>
      <c r="L628" s="134"/>
    </row>
    <row r="629">
      <c r="A629" s="148"/>
      <c r="B629" s="148"/>
      <c r="C629" s="148"/>
      <c r="D629" s="148"/>
      <c r="F629" s="148"/>
      <c r="G629" s="148"/>
      <c r="H629" s="148"/>
      <c r="I629" s="148"/>
      <c r="J629" s="148"/>
      <c r="L629" s="134"/>
    </row>
    <row r="630">
      <c r="A630" s="148"/>
      <c r="B630" s="148"/>
      <c r="C630" s="148"/>
      <c r="D630" s="148"/>
      <c r="F630" s="148"/>
      <c r="G630" s="148"/>
      <c r="H630" s="148"/>
      <c r="I630" s="148"/>
      <c r="J630" s="148"/>
      <c r="L630" s="134"/>
    </row>
    <row r="631">
      <c r="A631" s="148"/>
      <c r="B631" s="148"/>
      <c r="C631" s="148"/>
      <c r="D631" s="148"/>
      <c r="F631" s="148"/>
      <c r="G631" s="148"/>
      <c r="H631" s="148"/>
      <c r="I631" s="148"/>
      <c r="J631" s="148"/>
      <c r="L631" s="134"/>
    </row>
    <row r="632">
      <c r="A632" s="148"/>
      <c r="B632" s="148"/>
      <c r="C632" s="148"/>
      <c r="D632" s="148"/>
      <c r="F632" s="148"/>
      <c r="G632" s="148"/>
      <c r="H632" s="148"/>
      <c r="I632" s="148"/>
      <c r="J632" s="148"/>
      <c r="L632" s="134"/>
    </row>
    <row r="633">
      <c r="A633" s="148"/>
      <c r="B633" s="148"/>
      <c r="C633" s="148"/>
      <c r="D633" s="148"/>
      <c r="F633" s="148"/>
      <c r="G633" s="148"/>
      <c r="H633" s="148"/>
      <c r="I633" s="148"/>
      <c r="J633" s="148"/>
      <c r="L633" s="134"/>
    </row>
    <row r="634">
      <c r="A634" s="148"/>
      <c r="B634" s="148"/>
      <c r="C634" s="148"/>
      <c r="D634" s="148"/>
      <c r="F634" s="148"/>
      <c r="G634" s="148"/>
      <c r="H634" s="148"/>
      <c r="I634" s="148"/>
      <c r="J634" s="148"/>
      <c r="L634" s="134"/>
    </row>
    <row r="635">
      <c r="A635" s="148"/>
      <c r="B635" s="148"/>
      <c r="C635" s="148"/>
      <c r="D635" s="148"/>
      <c r="F635" s="148"/>
      <c r="G635" s="148"/>
      <c r="H635" s="148"/>
      <c r="I635" s="148"/>
      <c r="J635" s="148"/>
      <c r="L635" s="134"/>
    </row>
    <row r="636">
      <c r="A636" s="148"/>
      <c r="B636" s="148"/>
      <c r="C636" s="148"/>
      <c r="D636" s="148"/>
      <c r="F636" s="148"/>
      <c r="G636" s="148"/>
      <c r="H636" s="148"/>
      <c r="I636" s="148"/>
      <c r="J636" s="148"/>
      <c r="L636" s="134"/>
    </row>
    <row r="637">
      <c r="A637" s="148"/>
      <c r="B637" s="148"/>
      <c r="C637" s="148"/>
      <c r="D637" s="148"/>
      <c r="F637" s="148"/>
      <c r="G637" s="148"/>
      <c r="H637" s="148"/>
      <c r="I637" s="148"/>
      <c r="J637" s="148"/>
      <c r="L637" s="134"/>
    </row>
    <row r="638">
      <c r="A638" s="148"/>
      <c r="B638" s="148"/>
      <c r="C638" s="148"/>
      <c r="D638" s="148"/>
      <c r="F638" s="148"/>
      <c r="G638" s="148"/>
      <c r="H638" s="148"/>
      <c r="I638" s="148"/>
      <c r="J638" s="148"/>
      <c r="L638" s="134"/>
    </row>
    <row r="639">
      <c r="A639" s="148"/>
      <c r="B639" s="148"/>
      <c r="C639" s="148"/>
      <c r="D639" s="148"/>
      <c r="F639" s="148"/>
      <c r="G639" s="148"/>
      <c r="H639" s="148"/>
      <c r="I639" s="148"/>
      <c r="J639" s="148"/>
      <c r="L639" s="134"/>
    </row>
    <row r="640">
      <c r="A640" s="148"/>
      <c r="B640" s="148"/>
      <c r="C640" s="148"/>
      <c r="D640" s="148"/>
      <c r="F640" s="148"/>
      <c r="G640" s="148"/>
      <c r="H640" s="148"/>
      <c r="I640" s="148"/>
      <c r="J640" s="148"/>
      <c r="L640" s="134"/>
    </row>
    <row r="641">
      <c r="A641" s="148"/>
      <c r="B641" s="148"/>
      <c r="C641" s="148"/>
      <c r="D641" s="148"/>
      <c r="F641" s="148"/>
      <c r="G641" s="148"/>
      <c r="H641" s="148"/>
      <c r="I641" s="148"/>
      <c r="J641" s="148"/>
      <c r="L641" s="134"/>
    </row>
    <row r="642">
      <c r="A642" s="148"/>
      <c r="B642" s="148"/>
      <c r="C642" s="148"/>
      <c r="D642" s="148"/>
      <c r="F642" s="148"/>
      <c r="G642" s="148"/>
      <c r="H642" s="148"/>
      <c r="I642" s="148"/>
      <c r="J642" s="148"/>
      <c r="L642" s="134"/>
    </row>
    <row r="643">
      <c r="A643" s="148"/>
      <c r="B643" s="148"/>
      <c r="C643" s="148"/>
      <c r="D643" s="148"/>
      <c r="F643" s="148"/>
      <c r="G643" s="148"/>
      <c r="H643" s="148"/>
      <c r="I643" s="148"/>
      <c r="J643" s="148"/>
      <c r="L643" s="134"/>
    </row>
    <row r="644">
      <c r="A644" s="148"/>
      <c r="B644" s="148"/>
      <c r="C644" s="148"/>
      <c r="D644" s="148"/>
      <c r="F644" s="148"/>
      <c r="G644" s="148"/>
      <c r="H644" s="148"/>
      <c r="I644" s="148"/>
      <c r="J644" s="148"/>
      <c r="L644" s="134"/>
    </row>
    <row r="645">
      <c r="A645" s="148"/>
      <c r="B645" s="148"/>
      <c r="C645" s="148"/>
      <c r="D645" s="148"/>
      <c r="F645" s="148"/>
      <c r="G645" s="148"/>
      <c r="H645" s="148"/>
      <c r="I645" s="148"/>
      <c r="J645" s="148"/>
      <c r="L645" s="134"/>
    </row>
    <row r="646">
      <c r="A646" s="148"/>
      <c r="B646" s="148"/>
      <c r="C646" s="148"/>
      <c r="D646" s="148"/>
      <c r="F646" s="148"/>
      <c r="G646" s="148"/>
      <c r="H646" s="148"/>
      <c r="I646" s="148"/>
      <c r="J646" s="148"/>
      <c r="L646" s="134"/>
    </row>
    <row r="647">
      <c r="A647" s="148"/>
      <c r="B647" s="148"/>
      <c r="C647" s="148"/>
      <c r="D647" s="148"/>
      <c r="F647" s="148"/>
      <c r="G647" s="148"/>
      <c r="H647" s="148"/>
      <c r="I647" s="148"/>
      <c r="J647" s="148"/>
      <c r="L647" s="134"/>
    </row>
    <row r="648">
      <c r="A648" s="148"/>
      <c r="B648" s="148"/>
      <c r="C648" s="148"/>
      <c r="D648" s="148"/>
      <c r="F648" s="148"/>
      <c r="G648" s="148"/>
      <c r="H648" s="148"/>
      <c r="I648" s="148"/>
      <c r="J648" s="148"/>
      <c r="L648" s="134"/>
    </row>
    <row r="649">
      <c r="A649" s="148"/>
      <c r="B649" s="148"/>
      <c r="C649" s="148"/>
      <c r="D649" s="148"/>
      <c r="F649" s="148"/>
      <c r="G649" s="148"/>
      <c r="H649" s="148"/>
      <c r="I649" s="148"/>
      <c r="J649" s="148"/>
      <c r="L649" s="134"/>
    </row>
    <row r="650">
      <c r="A650" s="148"/>
      <c r="B650" s="148"/>
      <c r="C650" s="148"/>
      <c r="D650" s="148"/>
      <c r="F650" s="148"/>
      <c r="G650" s="148"/>
      <c r="H650" s="148"/>
      <c r="I650" s="148"/>
      <c r="J650" s="148"/>
      <c r="L650" s="134"/>
    </row>
    <row r="651">
      <c r="A651" s="148"/>
      <c r="B651" s="148"/>
      <c r="C651" s="148"/>
      <c r="D651" s="148"/>
      <c r="F651" s="148"/>
      <c r="G651" s="148"/>
      <c r="H651" s="148"/>
      <c r="I651" s="148"/>
      <c r="J651" s="148"/>
      <c r="L651" s="134"/>
    </row>
    <row r="652">
      <c r="A652" s="148"/>
      <c r="B652" s="148"/>
      <c r="C652" s="148"/>
      <c r="D652" s="148"/>
      <c r="F652" s="148"/>
      <c r="G652" s="148"/>
      <c r="H652" s="148"/>
      <c r="I652" s="148"/>
      <c r="J652" s="148"/>
      <c r="L652" s="134"/>
    </row>
    <row r="653">
      <c r="A653" s="148"/>
      <c r="B653" s="148"/>
      <c r="C653" s="148"/>
      <c r="D653" s="148"/>
      <c r="F653" s="148"/>
      <c r="G653" s="148"/>
      <c r="H653" s="148"/>
      <c r="I653" s="148"/>
      <c r="J653" s="148"/>
      <c r="L653" s="134"/>
    </row>
    <row r="654">
      <c r="A654" s="148"/>
      <c r="B654" s="148"/>
      <c r="C654" s="148"/>
      <c r="D654" s="148"/>
      <c r="F654" s="148"/>
      <c r="G654" s="148"/>
      <c r="H654" s="148"/>
      <c r="I654" s="148"/>
      <c r="J654" s="148"/>
      <c r="L654" s="134"/>
    </row>
    <row r="655">
      <c r="A655" s="148"/>
      <c r="B655" s="148"/>
      <c r="C655" s="148"/>
      <c r="D655" s="148"/>
      <c r="F655" s="148"/>
      <c r="G655" s="148"/>
      <c r="H655" s="148"/>
      <c r="I655" s="148"/>
      <c r="J655" s="148"/>
      <c r="L655" s="134"/>
    </row>
    <row r="656">
      <c r="A656" s="148"/>
      <c r="B656" s="148"/>
      <c r="C656" s="148"/>
      <c r="D656" s="148"/>
      <c r="F656" s="148"/>
      <c r="G656" s="148"/>
      <c r="H656" s="148"/>
      <c r="I656" s="148"/>
      <c r="J656" s="148"/>
      <c r="L656" s="134"/>
    </row>
    <row r="657">
      <c r="A657" s="148"/>
      <c r="B657" s="148"/>
      <c r="C657" s="148"/>
      <c r="D657" s="148"/>
      <c r="F657" s="148"/>
      <c r="G657" s="148"/>
      <c r="H657" s="148"/>
      <c r="I657" s="148"/>
      <c r="J657" s="148"/>
      <c r="L657" s="134"/>
    </row>
    <row r="658">
      <c r="A658" s="148"/>
      <c r="B658" s="148"/>
      <c r="C658" s="148"/>
      <c r="D658" s="148"/>
      <c r="F658" s="148"/>
      <c r="G658" s="148"/>
      <c r="H658" s="148"/>
      <c r="I658" s="148"/>
      <c r="J658" s="148"/>
      <c r="L658" s="134"/>
    </row>
    <row r="659">
      <c r="A659" s="148"/>
      <c r="B659" s="148"/>
      <c r="C659" s="148"/>
      <c r="D659" s="148"/>
      <c r="F659" s="148"/>
      <c r="G659" s="148"/>
      <c r="H659" s="148"/>
      <c r="I659" s="148"/>
      <c r="J659" s="148"/>
      <c r="L659" s="134"/>
    </row>
    <row r="660">
      <c r="A660" s="148"/>
      <c r="B660" s="148"/>
      <c r="C660" s="148"/>
      <c r="D660" s="148"/>
      <c r="F660" s="148"/>
      <c r="G660" s="148"/>
      <c r="H660" s="148"/>
      <c r="I660" s="148"/>
      <c r="J660" s="148"/>
      <c r="L660" s="134"/>
    </row>
    <row r="661">
      <c r="A661" s="148"/>
      <c r="B661" s="148"/>
      <c r="C661" s="148"/>
      <c r="D661" s="148"/>
      <c r="F661" s="148"/>
      <c r="G661" s="148"/>
      <c r="H661" s="148"/>
      <c r="I661" s="148"/>
      <c r="J661" s="148"/>
      <c r="L661" s="134"/>
    </row>
    <row r="662">
      <c r="A662" s="148"/>
      <c r="B662" s="148"/>
      <c r="C662" s="148"/>
      <c r="D662" s="148"/>
      <c r="F662" s="148"/>
      <c r="G662" s="148"/>
      <c r="H662" s="148"/>
      <c r="I662" s="148"/>
      <c r="J662" s="148"/>
      <c r="L662" s="134"/>
    </row>
    <row r="663">
      <c r="A663" s="148"/>
      <c r="B663" s="148"/>
      <c r="C663" s="148"/>
      <c r="D663" s="148"/>
      <c r="F663" s="148"/>
      <c r="G663" s="148"/>
      <c r="H663" s="148"/>
      <c r="I663" s="148"/>
      <c r="J663" s="148"/>
      <c r="L663" s="134"/>
    </row>
    <row r="664">
      <c r="A664" s="148"/>
      <c r="B664" s="148"/>
      <c r="C664" s="148"/>
      <c r="D664" s="148"/>
      <c r="F664" s="148"/>
      <c r="G664" s="148"/>
      <c r="H664" s="148"/>
      <c r="I664" s="148"/>
      <c r="J664" s="148"/>
      <c r="L664" s="134"/>
    </row>
    <row r="665">
      <c r="A665" s="148"/>
      <c r="B665" s="148"/>
      <c r="C665" s="148"/>
      <c r="D665" s="148"/>
      <c r="F665" s="148"/>
      <c r="G665" s="148"/>
      <c r="H665" s="148"/>
      <c r="I665" s="148"/>
      <c r="J665" s="148"/>
      <c r="L665" s="134"/>
    </row>
    <row r="666">
      <c r="A666" s="148"/>
      <c r="B666" s="148"/>
      <c r="C666" s="148"/>
      <c r="D666" s="148"/>
      <c r="F666" s="148"/>
      <c r="G666" s="148"/>
      <c r="H666" s="148"/>
      <c r="I666" s="148"/>
      <c r="J666" s="148"/>
      <c r="L666" s="134"/>
    </row>
    <row r="667">
      <c r="A667" s="148"/>
      <c r="B667" s="148"/>
      <c r="C667" s="148"/>
      <c r="D667" s="148"/>
      <c r="F667" s="148"/>
      <c r="G667" s="148"/>
      <c r="H667" s="148"/>
      <c r="I667" s="148"/>
      <c r="J667" s="148"/>
      <c r="L667" s="134"/>
    </row>
    <row r="668">
      <c r="A668" s="148"/>
      <c r="B668" s="148"/>
      <c r="C668" s="148"/>
      <c r="D668" s="148"/>
      <c r="F668" s="148"/>
      <c r="G668" s="148"/>
      <c r="H668" s="148"/>
      <c r="I668" s="148"/>
      <c r="J668" s="148"/>
      <c r="L668" s="134"/>
    </row>
    <row r="669">
      <c r="A669" s="148"/>
      <c r="B669" s="148"/>
      <c r="C669" s="148"/>
      <c r="D669" s="148"/>
      <c r="F669" s="148"/>
      <c r="G669" s="148"/>
      <c r="H669" s="148"/>
      <c r="I669" s="148"/>
      <c r="J669" s="148"/>
      <c r="L669" s="134"/>
    </row>
    <row r="670">
      <c r="A670" s="148"/>
      <c r="B670" s="148"/>
      <c r="C670" s="148"/>
      <c r="D670" s="148"/>
      <c r="F670" s="148"/>
      <c r="G670" s="148"/>
      <c r="H670" s="148"/>
      <c r="I670" s="148"/>
      <c r="J670" s="148"/>
      <c r="L670" s="134"/>
    </row>
    <row r="671">
      <c r="A671" s="148"/>
      <c r="B671" s="148"/>
      <c r="C671" s="148"/>
      <c r="D671" s="148"/>
      <c r="F671" s="148"/>
      <c r="G671" s="148"/>
      <c r="H671" s="148"/>
      <c r="I671" s="148"/>
      <c r="J671" s="148"/>
      <c r="L671" s="134"/>
    </row>
    <row r="672">
      <c r="A672" s="148"/>
      <c r="B672" s="148"/>
      <c r="C672" s="148"/>
      <c r="D672" s="148"/>
      <c r="F672" s="148"/>
      <c r="G672" s="148"/>
      <c r="H672" s="148"/>
      <c r="I672" s="148"/>
      <c r="J672" s="148"/>
      <c r="L672" s="134"/>
    </row>
    <row r="673">
      <c r="A673" s="148"/>
      <c r="B673" s="148"/>
      <c r="C673" s="148"/>
      <c r="D673" s="148"/>
      <c r="F673" s="148"/>
      <c r="G673" s="148"/>
      <c r="H673" s="148"/>
      <c r="I673" s="148"/>
      <c r="J673" s="148"/>
      <c r="L673" s="134"/>
    </row>
    <row r="674">
      <c r="A674" s="148"/>
      <c r="B674" s="148"/>
      <c r="C674" s="148"/>
      <c r="D674" s="148"/>
      <c r="F674" s="148"/>
      <c r="G674" s="148"/>
      <c r="H674" s="148"/>
      <c r="I674" s="148"/>
      <c r="J674" s="148"/>
      <c r="L674" s="134"/>
    </row>
    <row r="675">
      <c r="A675" s="148"/>
      <c r="B675" s="148"/>
      <c r="C675" s="148"/>
      <c r="D675" s="148"/>
      <c r="F675" s="148"/>
      <c r="G675" s="148"/>
      <c r="H675" s="148"/>
      <c r="I675" s="148"/>
      <c r="J675" s="148"/>
      <c r="L675" s="134"/>
    </row>
    <row r="676">
      <c r="A676" s="148"/>
      <c r="B676" s="148"/>
      <c r="C676" s="148"/>
      <c r="D676" s="148"/>
      <c r="F676" s="148"/>
      <c r="G676" s="148"/>
      <c r="H676" s="148"/>
      <c r="I676" s="148"/>
      <c r="J676" s="148"/>
      <c r="L676" s="134"/>
    </row>
    <row r="677">
      <c r="A677" s="148"/>
      <c r="B677" s="148"/>
      <c r="C677" s="148"/>
      <c r="D677" s="148"/>
      <c r="F677" s="148"/>
      <c r="G677" s="148"/>
      <c r="H677" s="148"/>
      <c r="I677" s="148"/>
      <c r="J677" s="148"/>
      <c r="L677" s="134"/>
    </row>
    <row r="678">
      <c r="A678" s="148"/>
      <c r="B678" s="148"/>
      <c r="C678" s="148"/>
      <c r="D678" s="148"/>
      <c r="F678" s="148"/>
      <c r="G678" s="148"/>
      <c r="H678" s="148"/>
      <c r="I678" s="148"/>
      <c r="J678" s="148"/>
      <c r="L678" s="134"/>
    </row>
    <row r="679">
      <c r="A679" s="148"/>
      <c r="B679" s="148"/>
      <c r="C679" s="148"/>
      <c r="D679" s="148"/>
      <c r="F679" s="148"/>
      <c r="G679" s="148"/>
      <c r="H679" s="148"/>
      <c r="I679" s="148"/>
      <c r="J679" s="148"/>
      <c r="L679" s="134"/>
    </row>
    <row r="680">
      <c r="A680" s="148"/>
      <c r="B680" s="148"/>
      <c r="C680" s="148"/>
      <c r="D680" s="148"/>
      <c r="F680" s="148"/>
      <c r="G680" s="148"/>
      <c r="H680" s="148"/>
      <c r="I680" s="148"/>
      <c r="J680" s="148"/>
      <c r="L680" s="134"/>
    </row>
    <row r="681">
      <c r="A681" s="148"/>
      <c r="B681" s="148"/>
      <c r="C681" s="148"/>
      <c r="D681" s="148"/>
      <c r="F681" s="148"/>
      <c r="G681" s="148"/>
      <c r="H681" s="148"/>
      <c r="I681" s="148"/>
      <c r="J681" s="148"/>
      <c r="L681" s="134"/>
    </row>
    <row r="682">
      <c r="A682" s="148"/>
      <c r="B682" s="148"/>
      <c r="C682" s="148"/>
      <c r="D682" s="148"/>
      <c r="F682" s="148"/>
      <c r="G682" s="148"/>
      <c r="H682" s="148"/>
      <c r="I682" s="148"/>
      <c r="J682" s="148"/>
      <c r="L682" s="134"/>
    </row>
    <row r="683">
      <c r="A683" s="148"/>
      <c r="B683" s="148"/>
      <c r="C683" s="148"/>
      <c r="D683" s="148"/>
      <c r="F683" s="148"/>
      <c r="G683" s="148"/>
      <c r="H683" s="148"/>
      <c r="I683" s="148"/>
      <c r="J683" s="148"/>
      <c r="L683" s="134"/>
    </row>
    <row r="684">
      <c r="A684" s="148"/>
      <c r="B684" s="148"/>
      <c r="C684" s="148"/>
      <c r="D684" s="148"/>
      <c r="F684" s="148"/>
      <c r="G684" s="148"/>
      <c r="H684" s="148"/>
      <c r="I684" s="148"/>
      <c r="J684" s="148"/>
      <c r="L684" s="134"/>
    </row>
    <row r="685">
      <c r="A685" s="148"/>
      <c r="B685" s="148"/>
      <c r="C685" s="148"/>
      <c r="D685" s="148"/>
      <c r="F685" s="148"/>
      <c r="G685" s="148"/>
      <c r="H685" s="148"/>
      <c r="I685" s="148"/>
      <c r="J685" s="148"/>
      <c r="L685" s="134"/>
    </row>
    <row r="686">
      <c r="A686" s="148"/>
      <c r="B686" s="148"/>
      <c r="C686" s="148"/>
      <c r="D686" s="148"/>
      <c r="F686" s="148"/>
      <c r="G686" s="148"/>
      <c r="H686" s="148"/>
      <c r="I686" s="148"/>
      <c r="J686" s="148"/>
      <c r="L686" s="134"/>
    </row>
    <row r="687">
      <c r="A687" s="148"/>
      <c r="B687" s="148"/>
      <c r="C687" s="148"/>
      <c r="D687" s="148"/>
      <c r="F687" s="148"/>
      <c r="G687" s="148"/>
      <c r="H687" s="148"/>
      <c r="I687" s="148"/>
      <c r="J687" s="148"/>
      <c r="L687" s="134"/>
    </row>
    <row r="688">
      <c r="A688" s="148"/>
      <c r="B688" s="148"/>
      <c r="C688" s="148"/>
      <c r="D688" s="148"/>
      <c r="F688" s="148"/>
      <c r="G688" s="148"/>
      <c r="H688" s="148"/>
      <c r="I688" s="148"/>
      <c r="J688" s="148"/>
      <c r="L688" s="134"/>
    </row>
    <row r="689">
      <c r="A689" s="148"/>
      <c r="B689" s="148"/>
      <c r="C689" s="148"/>
      <c r="D689" s="148"/>
      <c r="F689" s="148"/>
      <c r="G689" s="148"/>
      <c r="H689" s="148"/>
      <c r="I689" s="148"/>
      <c r="J689" s="148"/>
      <c r="L689" s="134"/>
    </row>
    <row r="690">
      <c r="A690" s="148"/>
      <c r="B690" s="148"/>
      <c r="C690" s="148"/>
      <c r="D690" s="148"/>
      <c r="F690" s="148"/>
      <c r="G690" s="148"/>
      <c r="H690" s="148"/>
      <c r="I690" s="148"/>
      <c r="J690" s="148"/>
      <c r="L690" s="134"/>
    </row>
    <row r="691">
      <c r="A691" s="148"/>
      <c r="B691" s="148"/>
      <c r="C691" s="148"/>
      <c r="D691" s="148"/>
      <c r="F691" s="148"/>
      <c r="G691" s="148"/>
      <c r="H691" s="148"/>
      <c r="I691" s="148"/>
      <c r="J691" s="148"/>
      <c r="L691" s="134"/>
    </row>
    <row r="692">
      <c r="A692" s="148"/>
      <c r="B692" s="148"/>
      <c r="C692" s="148"/>
      <c r="D692" s="148"/>
      <c r="F692" s="148"/>
      <c r="G692" s="148"/>
      <c r="H692" s="148"/>
      <c r="I692" s="148"/>
      <c r="J692" s="148"/>
      <c r="L692" s="134"/>
    </row>
    <row r="693">
      <c r="A693" s="148"/>
      <c r="B693" s="148"/>
      <c r="C693" s="148"/>
      <c r="D693" s="148"/>
      <c r="F693" s="148"/>
      <c r="G693" s="148"/>
      <c r="H693" s="148"/>
      <c r="I693" s="148"/>
      <c r="J693" s="148"/>
      <c r="L693" s="134"/>
    </row>
    <row r="694">
      <c r="A694" s="148"/>
      <c r="B694" s="148"/>
      <c r="C694" s="148"/>
      <c r="D694" s="148"/>
      <c r="F694" s="148"/>
      <c r="G694" s="148"/>
      <c r="H694" s="148"/>
      <c r="I694" s="148"/>
      <c r="J694" s="148"/>
      <c r="L694" s="134"/>
    </row>
    <row r="695">
      <c r="A695" s="148"/>
      <c r="B695" s="148"/>
      <c r="C695" s="148"/>
      <c r="D695" s="148"/>
      <c r="F695" s="148"/>
      <c r="G695" s="148"/>
      <c r="H695" s="148"/>
      <c r="I695" s="148"/>
      <c r="J695" s="148"/>
      <c r="L695" s="134"/>
    </row>
    <row r="696">
      <c r="A696" s="148"/>
      <c r="B696" s="148"/>
      <c r="C696" s="148"/>
      <c r="D696" s="148"/>
      <c r="F696" s="148"/>
      <c r="G696" s="148"/>
      <c r="H696" s="148"/>
      <c r="I696" s="148"/>
      <c r="J696" s="148"/>
      <c r="L696" s="134"/>
    </row>
    <row r="697">
      <c r="A697" s="148"/>
      <c r="B697" s="148"/>
      <c r="C697" s="148"/>
      <c r="D697" s="148"/>
      <c r="F697" s="148"/>
      <c r="G697" s="148"/>
      <c r="H697" s="148"/>
      <c r="I697" s="148"/>
      <c r="J697" s="148"/>
      <c r="L697" s="134"/>
    </row>
    <row r="698">
      <c r="A698" s="148"/>
      <c r="B698" s="148"/>
      <c r="C698" s="148"/>
      <c r="D698" s="148"/>
      <c r="F698" s="148"/>
      <c r="G698" s="148"/>
      <c r="H698" s="148"/>
      <c r="I698" s="148"/>
      <c r="J698" s="148"/>
      <c r="L698" s="134"/>
    </row>
    <row r="699">
      <c r="A699" s="148"/>
      <c r="B699" s="148"/>
      <c r="C699" s="148"/>
      <c r="D699" s="148"/>
      <c r="F699" s="148"/>
      <c r="G699" s="148"/>
      <c r="H699" s="148"/>
      <c r="I699" s="148"/>
      <c r="J699" s="148"/>
      <c r="L699" s="134"/>
    </row>
    <row r="700">
      <c r="A700" s="148"/>
      <c r="B700" s="148"/>
      <c r="C700" s="148"/>
      <c r="D700" s="148"/>
      <c r="F700" s="148"/>
      <c r="G700" s="148"/>
      <c r="H700" s="148"/>
      <c r="I700" s="148"/>
      <c r="J700" s="148"/>
      <c r="L700" s="134"/>
    </row>
    <row r="701">
      <c r="A701" s="148"/>
      <c r="B701" s="148"/>
      <c r="C701" s="148"/>
      <c r="D701" s="148"/>
      <c r="F701" s="148"/>
      <c r="G701" s="148"/>
      <c r="H701" s="148"/>
      <c r="I701" s="148"/>
      <c r="J701" s="148"/>
      <c r="L701" s="134"/>
    </row>
    <row r="702">
      <c r="A702" s="148"/>
      <c r="B702" s="148"/>
      <c r="C702" s="148"/>
      <c r="D702" s="148"/>
      <c r="F702" s="148"/>
      <c r="G702" s="148"/>
      <c r="H702" s="148"/>
      <c r="I702" s="148"/>
      <c r="J702" s="148"/>
      <c r="L702" s="134"/>
    </row>
    <row r="703">
      <c r="A703" s="148"/>
      <c r="B703" s="148"/>
      <c r="C703" s="148"/>
      <c r="D703" s="148"/>
      <c r="F703" s="148"/>
      <c r="G703" s="148"/>
      <c r="H703" s="148"/>
      <c r="I703" s="148"/>
      <c r="J703" s="148"/>
      <c r="L703" s="134"/>
    </row>
    <row r="704">
      <c r="A704" s="148"/>
      <c r="B704" s="148"/>
      <c r="C704" s="148"/>
      <c r="D704" s="148"/>
      <c r="F704" s="148"/>
      <c r="G704" s="148"/>
      <c r="H704" s="148"/>
      <c r="I704" s="148"/>
      <c r="J704" s="148"/>
      <c r="L704" s="134"/>
    </row>
    <row r="705">
      <c r="A705" s="148"/>
      <c r="B705" s="148"/>
      <c r="C705" s="148"/>
      <c r="D705" s="148"/>
      <c r="F705" s="148"/>
      <c r="G705" s="148"/>
      <c r="H705" s="148"/>
      <c r="I705" s="148"/>
      <c r="J705" s="148"/>
      <c r="L705" s="134"/>
    </row>
    <row r="706">
      <c r="A706" s="148"/>
      <c r="B706" s="148"/>
      <c r="C706" s="148"/>
      <c r="D706" s="148"/>
      <c r="F706" s="148"/>
      <c r="G706" s="148"/>
      <c r="H706" s="148"/>
      <c r="I706" s="148"/>
      <c r="J706" s="148"/>
      <c r="L706" s="134"/>
    </row>
    <row r="707">
      <c r="A707" s="148"/>
      <c r="B707" s="148"/>
      <c r="C707" s="148"/>
      <c r="D707" s="148"/>
      <c r="F707" s="148"/>
      <c r="G707" s="148"/>
      <c r="H707" s="148"/>
      <c r="I707" s="148"/>
      <c r="J707" s="148"/>
      <c r="L707" s="134"/>
    </row>
    <row r="708">
      <c r="A708" s="148"/>
      <c r="B708" s="148"/>
      <c r="C708" s="148"/>
      <c r="D708" s="148"/>
      <c r="F708" s="148"/>
      <c r="G708" s="148"/>
      <c r="H708" s="148"/>
      <c r="I708" s="148"/>
      <c r="J708" s="148"/>
      <c r="L708" s="134"/>
    </row>
    <row r="709">
      <c r="A709" s="148"/>
      <c r="B709" s="148"/>
      <c r="C709" s="148"/>
      <c r="D709" s="148"/>
      <c r="F709" s="148"/>
      <c r="G709" s="148"/>
      <c r="H709" s="148"/>
      <c r="I709" s="148"/>
      <c r="J709" s="148"/>
      <c r="L709" s="134"/>
    </row>
    <row r="710">
      <c r="A710" s="148"/>
      <c r="B710" s="148"/>
      <c r="C710" s="148"/>
      <c r="D710" s="148"/>
      <c r="F710" s="148"/>
      <c r="G710" s="148"/>
      <c r="H710" s="148"/>
      <c r="I710" s="148"/>
      <c r="J710" s="148"/>
      <c r="L710" s="134"/>
    </row>
    <row r="711">
      <c r="A711" s="148"/>
      <c r="B711" s="148"/>
      <c r="C711" s="148"/>
      <c r="D711" s="148"/>
      <c r="F711" s="148"/>
      <c r="G711" s="148"/>
      <c r="H711" s="148"/>
      <c r="I711" s="148"/>
      <c r="J711" s="148"/>
      <c r="L711" s="134"/>
    </row>
    <row r="712">
      <c r="A712" s="148"/>
      <c r="B712" s="148"/>
      <c r="C712" s="148"/>
      <c r="D712" s="148"/>
      <c r="F712" s="148"/>
      <c r="G712" s="148"/>
      <c r="H712" s="148"/>
      <c r="I712" s="148"/>
      <c r="J712" s="148"/>
      <c r="L712" s="134"/>
    </row>
    <row r="713">
      <c r="A713" s="148"/>
      <c r="B713" s="148"/>
      <c r="C713" s="148"/>
      <c r="D713" s="148"/>
      <c r="F713" s="148"/>
      <c r="G713" s="148"/>
      <c r="H713" s="148"/>
      <c r="I713" s="148"/>
      <c r="J713" s="148"/>
      <c r="L713" s="134"/>
    </row>
    <row r="714">
      <c r="A714" s="148"/>
      <c r="B714" s="148"/>
      <c r="C714" s="148"/>
      <c r="D714" s="148"/>
      <c r="F714" s="148"/>
      <c r="G714" s="148"/>
      <c r="H714" s="148"/>
      <c r="I714" s="148"/>
      <c r="J714" s="148"/>
      <c r="L714" s="134"/>
    </row>
    <row r="715">
      <c r="A715" s="148"/>
      <c r="B715" s="148"/>
      <c r="C715" s="148"/>
      <c r="D715" s="148"/>
      <c r="F715" s="148"/>
      <c r="G715" s="148"/>
      <c r="H715" s="148"/>
      <c r="I715" s="148"/>
      <c r="J715" s="148"/>
      <c r="L715" s="134"/>
    </row>
    <row r="716">
      <c r="A716" s="148"/>
      <c r="B716" s="148"/>
      <c r="C716" s="148"/>
      <c r="D716" s="148"/>
      <c r="F716" s="148"/>
      <c r="G716" s="148"/>
      <c r="H716" s="148"/>
      <c r="I716" s="148"/>
      <c r="J716" s="148"/>
      <c r="L716" s="134"/>
    </row>
    <row r="717">
      <c r="A717" s="148"/>
      <c r="B717" s="148"/>
      <c r="C717" s="148"/>
      <c r="D717" s="148"/>
      <c r="F717" s="148"/>
      <c r="G717" s="148"/>
      <c r="H717" s="148"/>
      <c r="I717" s="148"/>
      <c r="J717" s="148"/>
      <c r="L717" s="134"/>
    </row>
    <row r="718">
      <c r="A718" s="148"/>
      <c r="B718" s="148"/>
      <c r="C718" s="148"/>
      <c r="D718" s="148"/>
      <c r="F718" s="148"/>
      <c r="G718" s="148"/>
      <c r="H718" s="148"/>
      <c r="I718" s="148"/>
      <c r="J718" s="148"/>
      <c r="L718" s="134"/>
    </row>
    <row r="719">
      <c r="A719" s="148"/>
      <c r="B719" s="148"/>
      <c r="C719" s="148"/>
      <c r="D719" s="148"/>
      <c r="F719" s="148"/>
      <c r="G719" s="148"/>
      <c r="H719" s="148"/>
      <c r="I719" s="148"/>
      <c r="J719" s="148"/>
      <c r="L719" s="134"/>
    </row>
    <row r="720">
      <c r="A720" s="148"/>
      <c r="B720" s="148"/>
      <c r="C720" s="148"/>
      <c r="D720" s="148"/>
      <c r="F720" s="148"/>
      <c r="G720" s="148"/>
      <c r="H720" s="148"/>
      <c r="I720" s="148"/>
      <c r="J720" s="148"/>
      <c r="L720" s="134"/>
    </row>
    <row r="721">
      <c r="A721" s="148"/>
      <c r="B721" s="148"/>
      <c r="C721" s="148"/>
      <c r="D721" s="148"/>
      <c r="F721" s="148"/>
      <c r="G721" s="148"/>
      <c r="H721" s="148"/>
      <c r="I721" s="148"/>
      <c r="J721" s="148"/>
      <c r="L721" s="134"/>
    </row>
    <row r="722">
      <c r="A722" s="148"/>
      <c r="B722" s="148"/>
      <c r="C722" s="148"/>
      <c r="D722" s="148"/>
      <c r="F722" s="148"/>
      <c r="G722" s="148"/>
      <c r="H722" s="148"/>
      <c r="I722" s="148"/>
      <c r="J722" s="148"/>
      <c r="L722" s="134"/>
    </row>
    <row r="723">
      <c r="A723" s="148"/>
      <c r="B723" s="148"/>
      <c r="C723" s="148"/>
      <c r="D723" s="148"/>
      <c r="F723" s="148"/>
      <c r="G723" s="148"/>
      <c r="H723" s="148"/>
      <c r="I723" s="148"/>
      <c r="J723" s="148"/>
      <c r="L723" s="134"/>
    </row>
    <row r="724">
      <c r="A724" s="148"/>
      <c r="B724" s="148"/>
      <c r="C724" s="148"/>
      <c r="D724" s="148"/>
      <c r="F724" s="148"/>
      <c r="G724" s="148"/>
      <c r="H724" s="148"/>
      <c r="I724" s="148"/>
      <c r="J724" s="148"/>
      <c r="L724" s="134"/>
    </row>
    <row r="725">
      <c r="A725" s="148"/>
      <c r="B725" s="148"/>
      <c r="C725" s="148"/>
      <c r="D725" s="148"/>
      <c r="F725" s="148"/>
      <c r="G725" s="148"/>
      <c r="H725" s="148"/>
      <c r="I725" s="148"/>
      <c r="J725" s="148"/>
      <c r="L725" s="134"/>
    </row>
    <row r="726">
      <c r="A726" s="148"/>
      <c r="B726" s="148"/>
      <c r="C726" s="148"/>
      <c r="D726" s="148"/>
      <c r="F726" s="148"/>
      <c r="G726" s="148"/>
      <c r="H726" s="148"/>
      <c r="I726" s="148"/>
      <c r="J726" s="148"/>
      <c r="L726" s="134"/>
    </row>
    <row r="727">
      <c r="A727" s="148"/>
      <c r="B727" s="148"/>
      <c r="C727" s="148"/>
      <c r="D727" s="148"/>
      <c r="F727" s="148"/>
      <c r="G727" s="148"/>
      <c r="H727" s="148"/>
      <c r="I727" s="148"/>
      <c r="J727" s="148"/>
      <c r="L727" s="134"/>
    </row>
    <row r="728">
      <c r="A728" s="148"/>
      <c r="B728" s="148"/>
      <c r="C728" s="148"/>
      <c r="D728" s="148"/>
      <c r="F728" s="148"/>
      <c r="G728" s="148"/>
      <c r="H728" s="148"/>
      <c r="I728" s="148"/>
      <c r="J728" s="148"/>
      <c r="L728" s="134"/>
    </row>
    <row r="729">
      <c r="A729" s="148"/>
      <c r="B729" s="148"/>
      <c r="C729" s="148"/>
      <c r="D729" s="148"/>
      <c r="F729" s="148"/>
      <c r="G729" s="148"/>
      <c r="H729" s="148"/>
      <c r="I729" s="148"/>
      <c r="J729" s="148"/>
      <c r="L729" s="134"/>
    </row>
    <row r="730">
      <c r="A730" s="148"/>
      <c r="B730" s="148"/>
      <c r="C730" s="148"/>
      <c r="D730" s="148"/>
      <c r="F730" s="148"/>
      <c r="G730" s="148"/>
      <c r="H730" s="148"/>
      <c r="I730" s="148"/>
      <c r="J730" s="148"/>
      <c r="L730" s="134"/>
    </row>
    <row r="731">
      <c r="A731" s="148"/>
      <c r="B731" s="148"/>
      <c r="C731" s="148"/>
      <c r="D731" s="148"/>
      <c r="F731" s="148"/>
      <c r="G731" s="148"/>
      <c r="H731" s="148"/>
      <c r="I731" s="148"/>
      <c r="J731" s="148"/>
      <c r="L731" s="134"/>
    </row>
    <row r="732">
      <c r="A732" s="148"/>
      <c r="B732" s="148"/>
      <c r="C732" s="148"/>
      <c r="D732" s="148"/>
      <c r="F732" s="148"/>
      <c r="G732" s="148"/>
      <c r="H732" s="148"/>
      <c r="I732" s="148"/>
      <c r="J732" s="148"/>
      <c r="L732" s="134"/>
    </row>
    <row r="733">
      <c r="A733" s="148"/>
      <c r="B733" s="148"/>
      <c r="C733" s="148"/>
      <c r="D733" s="148"/>
      <c r="F733" s="148"/>
      <c r="G733" s="148"/>
      <c r="H733" s="148"/>
      <c r="I733" s="148"/>
      <c r="J733" s="148"/>
      <c r="L733" s="134"/>
    </row>
    <row r="734">
      <c r="A734" s="148"/>
      <c r="B734" s="148"/>
      <c r="C734" s="148"/>
      <c r="D734" s="148"/>
      <c r="F734" s="148"/>
      <c r="G734" s="148"/>
      <c r="H734" s="148"/>
      <c r="I734" s="148"/>
      <c r="J734" s="148"/>
      <c r="L734" s="134"/>
    </row>
    <row r="735">
      <c r="A735" s="148"/>
      <c r="B735" s="148"/>
      <c r="C735" s="148"/>
      <c r="D735" s="148"/>
      <c r="F735" s="148"/>
      <c r="G735" s="148"/>
      <c r="H735" s="148"/>
      <c r="I735" s="148"/>
      <c r="J735" s="148"/>
      <c r="L735" s="134"/>
    </row>
    <row r="736">
      <c r="A736" s="148"/>
      <c r="B736" s="148"/>
      <c r="C736" s="148"/>
      <c r="D736" s="148"/>
      <c r="F736" s="148"/>
      <c r="G736" s="148"/>
      <c r="H736" s="148"/>
      <c r="I736" s="148"/>
      <c r="J736" s="148"/>
      <c r="L736" s="134"/>
    </row>
    <row r="737">
      <c r="A737" s="148"/>
      <c r="B737" s="148"/>
      <c r="C737" s="148"/>
      <c r="D737" s="148"/>
      <c r="F737" s="148"/>
      <c r="G737" s="148"/>
      <c r="H737" s="148"/>
      <c r="I737" s="148"/>
      <c r="J737" s="148"/>
      <c r="L737" s="134"/>
    </row>
    <row r="738">
      <c r="A738" s="148"/>
      <c r="B738" s="148"/>
      <c r="C738" s="148"/>
      <c r="D738" s="148"/>
      <c r="F738" s="148"/>
      <c r="G738" s="148"/>
      <c r="H738" s="148"/>
      <c r="I738" s="148"/>
      <c r="J738" s="148"/>
      <c r="L738" s="134"/>
    </row>
    <row r="739">
      <c r="A739" s="148"/>
      <c r="B739" s="148"/>
      <c r="C739" s="148"/>
      <c r="D739" s="148"/>
      <c r="F739" s="148"/>
      <c r="G739" s="148"/>
      <c r="H739" s="148"/>
      <c r="I739" s="148"/>
      <c r="J739" s="148"/>
      <c r="L739" s="134"/>
    </row>
    <row r="740">
      <c r="A740" s="148"/>
      <c r="B740" s="148"/>
      <c r="C740" s="148"/>
      <c r="D740" s="148"/>
      <c r="F740" s="148"/>
      <c r="G740" s="148"/>
      <c r="H740" s="148"/>
      <c r="I740" s="148"/>
      <c r="J740" s="148"/>
      <c r="L740" s="134"/>
    </row>
    <row r="741">
      <c r="A741" s="148"/>
      <c r="B741" s="148"/>
      <c r="C741" s="148"/>
      <c r="D741" s="148"/>
      <c r="F741" s="148"/>
      <c r="G741" s="148"/>
      <c r="H741" s="148"/>
      <c r="I741" s="148"/>
      <c r="J741" s="148"/>
      <c r="L741" s="134"/>
    </row>
    <row r="742">
      <c r="A742" s="148"/>
      <c r="B742" s="148"/>
      <c r="C742" s="148"/>
      <c r="D742" s="148"/>
      <c r="F742" s="148"/>
      <c r="G742" s="148"/>
      <c r="H742" s="148"/>
      <c r="I742" s="148"/>
      <c r="J742" s="148"/>
      <c r="L742" s="134"/>
    </row>
    <row r="743">
      <c r="A743" s="148"/>
      <c r="B743" s="148"/>
      <c r="C743" s="148"/>
      <c r="D743" s="148"/>
      <c r="F743" s="148"/>
      <c r="G743" s="148"/>
      <c r="H743" s="148"/>
      <c r="I743" s="148"/>
      <c r="J743" s="148"/>
      <c r="L743" s="134"/>
    </row>
    <row r="744">
      <c r="A744" s="148"/>
      <c r="B744" s="148"/>
      <c r="C744" s="148"/>
      <c r="D744" s="148"/>
      <c r="F744" s="148"/>
      <c r="G744" s="148"/>
      <c r="H744" s="148"/>
      <c r="I744" s="148"/>
      <c r="J744" s="148"/>
      <c r="L744" s="134"/>
    </row>
    <row r="745">
      <c r="A745" s="148"/>
      <c r="B745" s="148"/>
      <c r="C745" s="148"/>
      <c r="D745" s="148"/>
      <c r="F745" s="148"/>
      <c r="G745" s="148"/>
      <c r="H745" s="148"/>
      <c r="I745" s="148"/>
      <c r="J745" s="148"/>
      <c r="L745" s="134"/>
    </row>
    <row r="746">
      <c r="A746" s="148"/>
      <c r="B746" s="148"/>
      <c r="C746" s="148"/>
      <c r="D746" s="148"/>
      <c r="F746" s="148"/>
      <c r="G746" s="148"/>
      <c r="H746" s="148"/>
      <c r="I746" s="148"/>
      <c r="J746" s="148"/>
      <c r="L746" s="134"/>
    </row>
    <row r="747">
      <c r="A747" s="148"/>
      <c r="B747" s="148"/>
      <c r="C747" s="148"/>
      <c r="D747" s="148"/>
      <c r="F747" s="148"/>
      <c r="G747" s="148"/>
      <c r="H747" s="148"/>
      <c r="I747" s="148"/>
      <c r="J747" s="148"/>
      <c r="L747" s="134"/>
    </row>
    <row r="748">
      <c r="A748" s="148"/>
      <c r="B748" s="148"/>
      <c r="C748" s="148"/>
      <c r="D748" s="148"/>
      <c r="F748" s="148"/>
      <c r="G748" s="148"/>
      <c r="H748" s="148"/>
      <c r="I748" s="148"/>
      <c r="J748" s="148"/>
      <c r="L748" s="134"/>
    </row>
    <row r="749">
      <c r="A749" s="148"/>
      <c r="B749" s="148"/>
      <c r="C749" s="148"/>
      <c r="D749" s="148"/>
      <c r="F749" s="148"/>
      <c r="G749" s="148"/>
      <c r="H749" s="148"/>
      <c r="I749" s="148"/>
      <c r="J749" s="148"/>
      <c r="L749" s="134"/>
    </row>
    <row r="750">
      <c r="A750" s="148"/>
      <c r="B750" s="148"/>
      <c r="C750" s="148"/>
      <c r="D750" s="148"/>
      <c r="F750" s="148"/>
      <c r="G750" s="148"/>
      <c r="H750" s="148"/>
      <c r="I750" s="148"/>
      <c r="J750" s="148"/>
      <c r="L750" s="134"/>
    </row>
    <row r="751">
      <c r="A751" s="148"/>
      <c r="B751" s="148"/>
      <c r="C751" s="148"/>
      <c r="D751" s="148"/>
      <c r="F751" s="148"/>
      <c r="G751" s="148"/>
      <c r="H751" s="148"/>
      <c r="I751" s="148"/>
      <c r="J751" s="148"/>
      <c r="L751" s="134"/>
    </row>
    <row r="752">
      <c r="A752" s="148"/>
      <c r="B752" s="148"/>
      <c r="C752" s="148"/>
      <c r="D752" s="148"/>
      <c r="F752" s="148"/>
      <c r="G752" s="148"/>
      <c r="H752" s="148"/>
      <c r="I752" s="148"/>
      <c r="J752" s="148"/>
      <c r="L752" s="134"/>
    </row>
    <row r="753">
      <c r="A753" s="148"/>
      <c r="B753" s="148"/>
      <c r="C753" s="148"/>
      <c r="D753" s="148"/>
      <c r="F753" s="148"/>
      <c r="G753" s="148"/>
      <c r="H753" s="148"/>
      <c r="I753" s="148"/>
      <c r="J753" s="148"/>
      <c r="L753" s="134"/>
    </row>
    <row r="754">
      <c r="A754" s="148"/>
      <c r="B754" s="148"/>
      <c r="C754" s="148"/>
      <c r="D754" s="148"/>
      <c r="F754" s="148"/>
      <c r="G754" s="148"/>
      <c r="H754" s="148"/>
      <c r="I754" s="148"/>
      <c r="J754" s="148"/>
      <c r="L754" s="134"/>
    </row>
    <row r="755">
      <c r="A755" s="148"/>
      <c r="B755" s="148"/>
      <c r="C755" s="148"/>
      <c r="D755" s="148"/>
      <c r="F755" s="148"/>
      <c r="G755" s="148"/>
      <c r="H755" s="148"/>
      <c r="I755" s="148"/>
      <c r="J755" s="148"/>
      <c r="L755" s="134"/>
    </row>
    <row r="756">
      <c r="A756" s="148"/>
      <c r="B756" s="148"/>
      <c r="C756" s="148"/>
      <c r="D756" s="148"/>
      <c r="F756" s="148"/>
      <c r="G756" s="148"/>
      <c r="H756" s="148"/>
      <c r="I756" s="148"/>
      <c r="J756" s="148"/>
      <c r="L756" s="134"/>
    </row>
    <row r="757">
      <c r="A757" s="148"/>
      <c r="B757" s="148"/>
      <c r="C757" s="148"/>
      <c r="D757" s="148"/>
      <c r="F757" s="148"/>
      <c r="G757" s="148"/>
      <c r="H757" s="148"/>
      <c r="I757" s="148"/>
      <c r="J757" s="148"/>
      <c r="L757" s="134"/>
    </row>
    <row r="758">
      <c r="A758" s="148"/>
      <c r="B758" s="148"/>
      <c r="C758" s="148"/>
      <c r="D758" s="148"/>
      <c r="F758" s="148"/>
      <c r="G758" s="148"/>
      <c r="H758" s="148"/>
      <c r="I758" s="148"/>
      <c r="J758" s="148"/>
      <c r="L758" s="134"/>
    </row>
    <row r="759">
      <c r="A759" s="148"/>
      <c r="B759" s="148"/>
      <c r="C759" s="148"/>
      <c r="D759" s="148"/>
      <c r="F759" s="148"/>
      <c r="G759" s="148"/>
      <c r="H759" s="148"/>
      <c r="I759" s="148"/>
      <c r="J759" s="148"/>
      <c r="L759" s="134"/>
    </row>
    <row r="760">
      <c r="A760" s="148"/>
      <c r="B760" s="148"/>
      <c r="C760" s="148"/>
      <c r="D760" s="148"/>
      <c r="F760" s="148"/>
      <c r="G760" s="148"/>
      <c r="H760" s="148"/>
      <c r="I760" s="148"/>
      <c r="J760" s="148"/>
      <c r="L760" s="134"/>
    </row>
    <row r="761">
      <c r="A761" s="148"/>
      <c r="B761" s="148"/>
      <c r="C761" s="148"/>
      <c r="D761" s="148"/>
      <c r="F761" s="148"/>
      <c r="G761" s="148"/>
      <c r="H761" s="148"/>
      <c r="I761" s="148"/>
      <c r="J761" s="148"/>
      <c r="L761" s="134"/>
    </row>
    <row r="762">
      <c r="A762" s="148"/>
      <c r="B762" s="148"/>
      <c r="C762" s="148"/>
      <c r="D762" s="148"/>
      <c r="F762" s="148"/>
      <c r="G762" s="148"/>
      <c r="H762" s="148"/>
      <c r="I762" s="148"/>
      <c r="J762" s="148"/>
      <c r="L762" s="134"/>
    </row>
    <row r="763">
      <c r="A763" s="148"/>
      <c r="B763" s="148"/>
      <c r="C763" s="148"/>
      <c r="D763" s="148"/>
      <c r="F763" s="148"/>
      <c r="G763" s="148"/>
      <c r="H763" s="148"/>
      <c r="I763" s="148"/>
      <c r="J763" s="148"/>
      <c r="L763" s="134"/>
    </row>
    <row r="764">
      <c r="A764" s="148"/>
      <c r="B764" s="148"/>
      <c r="C764" s="148"/>
      <c r="D764" s="148"/>
      <c r="F764" s="148"/>
      <c r="G764" s="148"/>
      <c r="H764" s="148"/>
      <c r="I764" s="148"/>
      <c r="J764" s="148"/>
      <c r="L764" s="134"/>
    </row>
    <row r="765">
      <c r="A765" s="148"/>
      <c r="B765" s="148"/>
      <c r="C765" s="148"/>
      <c r="D765" s="148"/>
      <c r="F765" s="148"/>
      <c r="G765" s="148"/>
      <c r="H765" s="148"/>
      <c r="I765" s="148"/>
      <c r="J765" s="148"/>
      <c r="L765" s="134"/>
    </row>
    <row r="766">
      <c r="A766" s="148"/>
      <c r="B766" s="148"/>
      <c r="C766" s="148"/>
      <c r="D766" s="148"/>
      <c r="F766" s="148"/>
      <c r="G766" s="148"/>
      <c r="H766" s="148"/>
      <c r="I766" s="148"/>
      <c r="J766" s="148"/>
      <c r="L766" s="134"/>
    </row>
    <row r="767">
      <c r="A767" s="148"/>
      <c r="B767" s="148"/>
      <c r="C767" s="148"/>
      <c r="D767" s="148"/>
      <c r="F767" s="148"/>
      <c r="G767" s="148"/>
      <c r="H767" s="148"/>
      <c r="I767" s="148"/>
      <c r="J767" s="148"/>
      <c r="L767" s="134"/>
    </row>
    <row r="768">
      <c r="A768" s="148"/>
      <c r="B768" s="148"/>
      <c r="C768" s="148"/>
      <c r="D768" s="148"/>
      <c r="F768" s="148"/>
      <c r="G768" s="148"/>
      <c r="H768" s="148"/>
      <c r="I768" s="148"/>
      <c r="J768" s="148"/>
      <c r="L768" s="134"/>
    </row>
    <row r="769">
      <c r="A769" s="148"/>
      <c r="B769" s="148"/>
      <c r="C769" s="148"/>
      <c r="D769" s="148"/>
      <c r="F769" s="148"/>
      <c r="G769" s="148"/>
      <c r="H769" s="148"/>
      <c r="I769" s="148"/>
      <c r="J769" s="148"/>
      <c r="L769" s="134"/>
    </row>
    <row r="770">
      <c r="A770" s="148"/>
      <c r="B770" s="148"/>
      <c r="C770" s="148"/>
      <c r="D770" s="148"/>
      <c r="F770" s="148"/>
      <c r="G770" s="148"/>
      <c r="H770" s="148"/>
      <c r="I770" s="148"/>
      <c r="J770" s="148"/>
      <c r="L770" s="134"/>
    </row>
    <row r="771">
      <c r="A771" s="148"/>
      <c r="B771" s="148"/>
      <c r="C771" s="148"/>
      <c r="D771" s="148"/>
      <c r="F771" s="148"/>
      <c r="G771" s="148"/>
      <c r="H771" s="148"/>
      <c r="I771" s="148"/>
      <c r="J771" s="148"/>
      <c r="L771" s="134"/>
    </row>
    <row r="772">
      <c r="A772" s="148"/>
      <c r="B772" s="148"/>
      <c r="C772" s="148"/>
      <c r="D772" s="148"/>
      <c r="F772" s="148"/>
      <c r="G772" s="148"/>
      <c r="H772" s="148"/>
      <c r="I772" s="148"/>
      <c r="J772" s="148"/>
      <c r="L772" s="134"/>
    </row>
    <row r="773">
      <c r="A773" s="148"/>
      <c r="B773" s="148"/>
      <c r="C773" s="148"/>
      <c r="D773" s="148"/>
      <c r="F773" s="148"/>
      <c r="G773" s="148"/>
      <c r="H773" s="148"/>
      <c r="I773" s="148"/>
      <c r="J773" s="148"/>
      <c r="L773" s="134"/>
    </row>
    <row r="774">
      <c r="A774" s="148"/>
      <c r="B774" s="148"/>
      <c r="C774" s="148"/>
      <c r="D774" s="148"/>
      <c r="F774" s="148"/>
      <c r="G774" s="148"/>
      <c r="H774" s="148"/>
      <c r="I774" s="148"/>
      <c r="J774" s="148"/>
      <c r="L774" s="134"/>
    </row>
    <row r="775">
      <c r="A775" s="148"/>
      <c r="B775" s="148"/>
      <c r="C775" s="148"/>
      <c r="D775" s="148"/>
      <c r="F775" s="148"/>
      <c r="G775" s="148"/>
      <c r="H775" s="148"/>
      <c r="I775" s="148"/>
      <c r="J775" s="148"/>
      <c r="L775" s="134"/>
    </row>
    <row r="776">
      <c r="A776" s="148"/>
      <c r="B776" s="148"/>
      <c r="C776" s="148"/>
      <c r="D776" s="148"/>
      <c r="F776" s="148"/>
      <c r="G776" s="148"/>
      <c r="H776" s="148"/>
      <c r="I776" s="148"/>
      <c r="J776" s="148"/>
      <c r="L776" s="134"/>
    </row>
    <row r="777">
      <c r="A777" s="148"/>
      <c r="B777" s="148"/>
      <c r="C777" s="148"/>
      <c r="D777" s="148"/>
      <c r="F777" s="148"/>
      <c r="G777" s="148"/>
      <c r="H777" s="148"/>
      <c r="I777" s="148"/>
      <c r="J777" s="148"/>
      <c r="L777" s="134"/>
    </row>
    <row r="778">
      <c r="A778" s="148"/>
      <c r="B778" s="148"/>
      <c r="C778" s="148"/>
      <c r="D778" s="148"/>
      <c r="F778" s="148"/>
      <c r="G778" s="148"/>
      <c r="H778" s="148"/>
      <c r="I778" s="148"/>
      <c r="J778" s="148"/>
      <c r="L778" s="134"/>
    </row>
    <row r="779">
      <c r="A779" s="148"/>
      <c r="B779" s="148"/>
      <c r="C779" s="148"/>
      <c r="D779" s="148"/>
      <c r="F779" s="148"/>
      <c r="G779" s="148"/>
      <c r="H779" s="148"/>
      <c r="I779" s="148"/>
      <c r="J779" s="148"/>
      <c r="L779" s="134"/>
    </row>
    <row r="780">
      <c r="A780" s="148"/>
      <c r="B780" s="148"/>
      <c r="C780" s="148"/>
      <c r="D780" s="148"/>
      <c r="F780" s="148"/>
      <c r="G780" s="148"/>
      <c r="H780" s="148"/>
      <c r="I780" s="148"/>
      <c r="J780" s="148"/>
      <c r="L780" s="134"/>
    </row>
    <row r="781">
      <c r="A781" s="148"/>
      <c r="B781" s="148"/>
      <c r="C781" s="148"/>
      <c r="D781" s="148"/>
      <c r="F781" s="148"/>
      <c r="G781" s="148"/>
      <c r="H781" s="148"/>
      <c r="I781" s="148"/>
      <c r="J781" s="148"/>
      <c r="L781" s="134"/>
    </row>
    <row r="782">
      <c r="A782" s="148"/>
      <c r="B782" s="148"/>
      <c r="C782" s="148"/>
      <c r="D782" s="148"/>
      <c r="F782" s="148"/>
      <c r="G782" s="148"/>
      <c r="H782" s="148"/>
      <c r="I782" s="148"/>
      <c r="J782" s="148"/>
      <c r="L782" s="134"/>
    </row>
    <row r="783">
      <c r="A783" s="148"/>
      <c r="B783" s="148"/>
      <c r="C783" s="148"/>
      <c r="D783" s="148"/>
      <c r="F783" s="148"/>
      <c r="G783" s="148"/>
      <c r="H783" s="148"/>
      <c r="I783" s="148"/>
      <c r="J783" s="148"/>
      <c r="L783" s="134"/>
    </row>
    <row r="784">
      <c r="A784" s="148"/>
      <c r="B784" s="148"/>
      <c r="C784" s="148"/>
      <c r="D784" s="148"/>
      <c r="F784" s="148"/>
      <c r="G784" s="148"/>
      <c r="H784" s="148"/>
      <c r="I784" s="148"/>
      <c r="J784" s="148"/>
      <c r="L784" s="134"/>
    </row>
    <row r="785">
      <c r="A785" s="148"/>
      <c r="B785" s="148"/>
      <c r="C785" s="148"/>
      <c r="D785" s="148"/>
      <c r="F785" s="148"/>
      <c r="G785" s="148"/>
      <c r="H785" s="148"/>
      <c r="I785" s="148"/>
      <c r="J785" s="148"/>
      <c r="L785" s="134"/>
    </row>
    <row r="786">
      <c r="A786" s="148"/>
      <c r="B786" s="148"/>
      <c r="C786" s="148"/>
      <c r="D786" s="148"/>
      <c r="F786" s="148"/>
      <c r="G786" s="148"/>
      <c r="H786" s="148"/>
      <c r="I786" s="148"/>
      <c r="J786" s="148"/>
      <c r="L786" s="134"/>
    </row>
    <row r="787">
      <c r="A787" s="148"/>
      <c r="B787" s="148"/>
      <c r="C787" s="148"/>
      <c r="D787" s="148"/>
      <c r="F787" s="148"/>
      <c r="G787" s="148"/>
      <c r="H787" s="148"/>
      <c r="I787" s="148"/>
      <c r="J787" s="148"/>
      <c r="L787" s="134"/>
    </row>
    <row r="788">
      <c r="A788" s="148"/>
      <c r="B788" s="148"/>
      <c r="C788" s="148"/>
      <c r="D788" s="148"/>
      <c r="F788" s="148"/>
      <c r="G788" s="148"/>
      <c r="H788" s="148"/>
      <c r="I788" s="148"/>
      <c r="J788" s="148"/>
      <c r="L788" s="134"/>
    </row>
    <row r="789">
      <c r="A789" s="148"/>
      <c r="B789" s="148"/>
      <c r="C789" s="148"/>
      <c r="D789" s="148"/>
      <c r="F789" s="148"/>
      <c r="G789" s="148"/>
      <c r="H789" s="148"/>
      <c r="I789" s="148"/>
      <c r="J789" s="148"/>
      <c r="L789" s="134"/>
    </row>
    <row r="790">
      <c r="A790" s="148"/>
      <c r="B790" s="148"/>
      <c r="C790" s="148"/>
      <c r="D790" s="148"/>
      <c r="F790" s="148"/>
      <c r="G790" s="148"/>
      <c r="H790" s="148"/>
      <c r="I790" s="148"/>
      <c r="J790" s="148"/>
      <c r="L790" s="134"/>
    </row>
    <row r="791">
      <c r="A791" s="148"/>
      <c r="B791" s="148"/>
      <c r="C791" s="148"/>
      <c r="D791" s="148"/>
      <c r="F791" s="148"/>
      <c r="G791" s="148"/>
      <c r="H791" s="148"/>
      <c r="I791" s="148"/>
      <c r="J791" s="148"/>
      <c r="L791" s="134"/>
    </row>
    <row r="792">
      <c r="A792" s="148"/>
      <c r="B792" s="148"/>
      <c r="C792" s="148"/>
      <c r="D792" s="148"/>
      <c r="F792" s="148"/>
      <c r="G792" s="148"/>
      <c r="H792" s="148"/>
      <c r="I792" s="148"/>
      <c r="J792" s="148"/>
      <c r="L792" s="134"/>
    </row>
    <row r="793">
      <c r="A793" s="148"/>
      <c r="B793" s="148"/>
      <c r="C793" s="148"/>
      <c r="D793" s="148"/>
      <c r="F793" s="148"/>
      <c r="G793" s="148"/>
      <c r="H793" s="148"/>
      <c r="I793" s="148"/>
      <c r="J793" s="148"/>
      <c r="L793" s="134"/>
    </row>
    <row r="794">
      <c r="A794" s="148"/>
      <c r="B794" s="148"/>
      <c r="C794" s="148"/>
      <c r="D794" s="148"/>
      <c r="F794" s="148"/>
      <c r="G794" s="148"/>
      <c r="H794" s="148"/>
      <c r="I794" s="148"/>
      <c r="J794" s="148"/>
      <c r="L794" s="134"/>
    </row>
    <row r="795">
      <c r="A795" s="148"/>
      <c r="B795" s="148"/>
      <c r="C795" s="148"/>
      <c r="D795" s="148"/>
      <c r="F795" s="148"/>
      <c r="G795" s="148"/>
      <c r="H795" s="148"/>
      <c r="I795" s="148"/>
      <c r="J795" s="148"/>
      <c r="L795" s="134"/>
    </row>
    <row r="796">
      <c r="A796" s="148"/>
      <c r="B796" s="148"/>
      <c r="C796" s="148"/>
      <c r="D796" s="148"/>
      <c r="F796" s="148"/>
      <c r="G796" s="148"/>
      <c r="H796" s="148"/>
      <c r="I796" s="148"/>
      <c r="J796" s="148"/>
      <c r="L796" s="134"/>
    </row>
    <row r="797">
      <c r="A797" s="148"/>
      <c r="B797" s="148"/>
      <c r="C797" s="148"/>
      <c r="D797" s="148"/>
      <c r="F797" s="148"/>
      <c r="G797" s="148"/>
      <c r="H797" s="148"/>
      <c r="I797" s="148"/>
      <c r="J797" s="148"/>
      <c r="L797" s="134"/>
    </row>
    <row r="798">
      <c r="A798" s="148"/>
      <c r="B798" s="148"/>
      <c r="C798" s="148"/>
      <c r="D798" s="148"/>
      <c r="F798" s="148"/>
      <c r="G798" s="148"/>
      <c r="H798" s="148"/>
      <c r="I798" s="148"/>
      <c r="J798" s="148"/>
      <c r="L798" s="134"/>
    </row>
    <row r="799">
      <c r="A799" s="148"/>
      <c r="B799" s="148"/>
      <c r="C799" s="148"/>
      <c r="D799" s="148"/>
      <c r="F799" s="148"/>
      <c r="G799" s="148"/>
      <c r="H799" s="148"/>
      <c r="I799" s="148"/>
      <c r="J799" s="148"/>
      <c r="L799" s="134"/>
    </row>
    <row r="800">
      <c r="A800" s="148"/>
      <c r="B800" s="148"/>
      <c r="C800" s="148"/>
      <c r="D800" s="148"/>
      <c r="F800" s="148"/>
      <c r="G800" s="148"/>
      <c r="H800" s="148"/>
      <c r="I800" s="148"/>
      <c r="J800" s="148"/>
      <c r="L800" s="134"/>
    </row>
    <row r="801">
      <c r="A801" s="148"/>
      <c r="B801" s="148"/>
      <c r="C801" s="148"/>
      <c r="D801" s="148"/>
      <c r="F801" s="148"/>
      <c r="G801" s="148"/>
      <c r="H801" s="148"/>
      <c r="I801" s="148"/>
      <c r="J801" s="148"/>
      <c r="L801" s="134"/>
    </row>
    <row r="802">
      <c r="A802" s="148"/>
      <c r="B802" s="148"/>
      <c r="C802" s="148"/>
      <c r="D802" s="148"/>
      <c r="F802" s="148"/>
      <c r="G802" s="148"/>
      <c r="H802" s="148"/>
      <c r="I802" s="148"/>
      <c r="J802" s="148"/>
      <c r="L802" s="134"/>
    </row>
    <row r="803">
      <c r="A803" s="148"/>
      <c r="B803" s="148"/>
      <c r="C803" s="148"/>
      <c r="D803" s="148"/>
      <c r="F803" s="148"/>
      <c r="G803" s="148"/>
      <c r="H803" s="148"/>
      <c r="I803" s="148"/>
      <c r="J803" s="148"/>
      <c r="L803" s="134"/>
    </row>
    <row r="804">
      <c r="A804" s="148"/>
      <c r="B804" s="148"/>
      <c r="C804" s="148"/>
      <c r="D804" s="148"/>
      <c r="F804" s="148"/>
      <c r="G804" s="148"/>
      <c r="H804" s="148"/>
      <c r="I804" s="148"/>
      <c r="J804" s="148"/>
      <c r="L804" s="134"/>
    </row>
    <row r="805">
      <c r="A805" s="148"/>
      <c r="B805" s="148"/>
      <c r="C805" s="148"/>
      <c r="D805" s="148"/>
      <c r="F805" s="148"/>
      <c r="G805" s="148"/>
      <c r="H805" s="148"/>
      <c r="I805" s="148"/>
      <c r="J805" s="148"/>
      <c r="L805" s="134"/>
    </row>
    <row r="806">
      <c r="A806" s="148"/>
      <c r="B806" s="148"/>
      <c r="C806" s="148"/>
      <c r="D806" s="148"/>
      <c r="F806" s="148"/>
      <c r="G806" s="148"/>
      <c r="H806" s="148"/>
      <c r="I806" s="148"/>
      <c r="J806" s="148"/>
      <c r="L806" s="134"/>
    </row>
    <row r="807">
      <c r="A807" s="148"/>
      <c r="B807" s="148"/>
      <c r="C807" s="148"/>
      <c r="D807" s="148"/>
      <c r="F807" s="148"/>
      <c r="G807" s="148"/>
      <c r="H807" s="148"/>
      <c r="I807" s="148"/>
      <c r="J807" s="148"/>
      <c r="L807" s="134"/>
    </row>
    <row r="808">
      <c r="A808" s="148"/>
      <c r="B808" s="148"/>
      <c r="C808" s="148"/>
      <c r="D808" s="148"/>
      <c r="F808" s="148"/>
      <c r="G808" s="148"/>
      <c r="H808" s="148"/>
      <c r="I808" s="148"/>
      <c r="J808" s="148"/>
      <c r="L808" s="134"/>
    </row>
    <row r="809">
      <c r="A809" s="148"/>
      <c r="B809" s="148"/>
      <c r="C809" s="148"/>
      <c r="D809" s="148"/>
      <c r="F809" s="148"/>
      <c r="G809" s="148"/>
      <c r="H809" s="148"/>
      <c r="I809" s="148"/>
      <c r="J809" s="148"/>
      <c r="L809" s="134"/>
    </row>
    <row r="810">
      <c r="A810" s="148"/>
      <c r="B810" s="148"/>
      <c r="C810" s="148"/>
      <c r="D810" s="148"/>
      <c r="F810" s="148"/>
      <c r="G810" s="148"/>
      <c r="H810" s="148"/>
      <c r="I810" s="148"/>
      <c r="J810" s="148"/>
      <c r="L810" s="134"/>
    </row>
    <row r="811">
      <c r="A811" s="148"/>
      <c r="B811" s="148"/>
      <c r="C811" s="148"/>
      <c r="D811" s="148"/>
      <c r="F811" s="148"/>
      <c r="G811" s="148"/>
      <c r="H811" s="148"/>
      <c r="I811" s="148"/>
      <c r="J811" s="148"/>
      <c r="L811" s="134"/>
    </row>
    <row r="812">
      <c r="A812" s="148"/>
      <c r="B812" s="148"/>
      <c r="C812" s="148"/>
      <c r="D812" s="148"/>
      <c r="F812" s="148"/>
      <c r="G812" s="148"/>
      <c r="H812" s="148"/>
      <c r="I812" s="148"/>
      <c r="J812" s="148"/>
      <c r="L812" s="134"/>
    </row>
    <row r="813">
      <c r="A813" s="148"/>
      <c r="B813" s="148"/>
      <c r="C813" s="148"/>
      <c r="D813" s="148"/>
      <c r="F813" s="148"/>
      <c r="G813" s="148"/>
      <c r="H813" s="148"/>
      <c r="I813" s="148"/>
      <c r="J813" s="148"/>
      <c r="L813" s="134"/>
    </row>
    <row r="814">
      <c r="A814" s="148"/>
      <c r="B814" s="148"/>
      <c r="C814" s="148"/>
      <c r="D814" s="148"/>
      <c r="F814" s="148"/>
      <c r="G814" s="148"/>
      <c r="H814" s="148"/>
      <c r="I814" s="148"/>
      <c r="J814" s="148"/>
      <c r="L814" s="134"/>
    </row>
    <row r="815">
      <c r="A815" s="148"/>
      <c r="B815" s="148"/>
      <c r="C815" s="148"/>
      <c r="D815" s="148"/>
      <c r="F815" s="148"/>
      <c r="G815" s="148"/>
      <c r="H815" s="148"/>
      <c r="I815" s="148"/>
      <c r="J815" s="148"/>
      <c r="L815" s="134"/>
    </row>
    <row r="816">
      <c r="A816" s="148"/>
      <c r="B816" s="148"/>
      <c r="C816" s="148"/>
      <c r="D816" s="148"/>
      <c r="F816" s="148"/>
      <c r="G816" s="148"/>
      <c r="H816" s="148"/>
      <c r="I816" s="148"/>
      <c r="J816" s="148"/>
      <c r="L816" s="134"/>
    </row>
    <row r="817">
      <c r="A817" s="148"/>
      <c r="B817" s="148"/>
      <c r="C817" s="148"/>
      <c r="D817" s="148"/>
      <c r="F817" s="148"/>
      <c r="G817" s="148"/>
      <c r="H817" s="148"/>
      <c r="I817" s="148"/>
      <c r="J817" s="148"/>
      <c r="L817" s="134"/>
    </row>
    <row r="818">
      <c r="A818" s="148"/>
      <c r="B818" s="148"/>
      <c r="C818" s="148"/>
      <c r="D818" s="148"/>
      <c r="F818" s="148"/>
      <c r="G818" s="148"/>
      <c r="H818" s="148"/>
      <c r="I818" s="148"/>
      <c r="J818" s="148"/>
      <c r="L818" s="134"/>
    </row>
    <row r="819">
      <c r="A819" s="148"/>
      <c r="B819" s="148"/>
      <c r="C819" s="148"/>
      <c r="D819" s="148"/>
      <c r="F819" s="148"/>
      <c r="G819" s="148"/>
      <c r="H819" s="148"/>
      <c r="I819" s="148"/>
      <c r="J819" s="148"/>
      <c r="L819" s="134"/>
    </row>
    <row r="820">
      <c r="A820" s="148"/>
      <c r="B820" s="148"/>
      <c r="C820" s="148"/>
      <c r="D820" s="148"/>
      <c r="F820" s="148"/>
      <c r="G820" s="148"/>
      <c r="H820" s="148"/>
      <c r="I820" s="148"/>
      <c r="J820" s="148"/>
      <c r="L820" s="134"/>
    </row>
    <row r="821">
      <c r="A821" s="148"/>
      <c r="B821" s="148"/>
      <c r="C821" s="148"/>
      <c r="D821" s="148"/>
      <c r="F821" s="148"/>
      <c r="G821" s="148"/>
      <c r="H821" s="148"/>
      <c r="I821" s="148"/>
      <c r="J821" s="148"/>
      <c r="L821" s="134"/>
    </row>
    <row r="822">
      <c r="A822" s="148"/>
      <c r="B822" s="148"/>
      <c r="C822" s="148"/>
      <c r="D822" s="148"/>
      <c r="F822" s="148"/>
      <c r="G822" s="148"/>
      <c r="H822" s="148"/>
      <c r="I822" s="148"/>
      <c r="J822" s="148"/>
      <c r="L822" s="134"/>
    </row>
    <row r="823">
      <c r="A823" s="148"/>
      <c r="B823" s="148"/>
      <c r="C823" s="148"/>
      <c r="D823" s="148"/>
      <c r="F823" s="148"/>
      <c r="G823" s="148"/>
      <c r="H823" s="148"/>
      <c r="I823" s="148"/>
      <c r="J823" s="148"/>
      <c r="L823" s="134"/>
    </row>
    <row r="824">
      <c r="A824" s="148"/>
      <c r="B824" s="148"/>
      <c r="C824" s="148"/>
      <c r="D824" s="148"/>
      <c r="F824" s="148"/>
      <c r="G824" s="148"/>
      <c r="H824" s="148"/>
      <c r="I824" s="148"/>
      <c r="J824" s="148"/>
      <c r="L824" s="134"/>
    </row>
    <row r="825">
      <c r="A825" s="148"/>
      <c r="B825" s="148"/>
      <c r="C825" s="148"/>
      <c r="D825" s="148"/>
      <c r="F825" s="148"/>
      <c r="G825" s="148"/>
      <c r="H825" s="148"/>
      <c r="I825" s="148"/>
      <c r="J825" s="148"/>
      <c r="L825" s="134"/>
    </row>
    <row r="826">
      <c r="A826" s="148"/>
      <c r="B826" s="148"/>
      <c r="C826" s="148"/>
      <c r="D826" s="148"/>
      <c r="F826" s="148"/>
      <c r="G826" s="148"/>
      <c r="H826" s="148"/>
      <c r="I826" s="148"/>
      <c r="J826" s="148"/>
      <c r="L826" s="134"/>
    </row>
    <row r="827">
      <c r="A827" s="148"/>
      <c r="B827" s="148"/>
      <c r="C827" s="148"/>
      <c r="D827" s="148"/>
      <c r="F827" s="148"/>
      <c r="G827" s="148"/>
      <c r="H827" s="148"/>
      <c r="I827" s="148"/>
      <c r="J827" s="148"/>
      <c r="L827" s="134"/>
    </row>
    <row r="828">
      <c r="A828" s="148"/>
      <c r="B828" s="148"/>
      <c r="C828" s="148"/>
      <c r="D828" s="148"/>
      <c r="F828" s="148"/>
      <c r="G828" s="148"/>
      <c r="H828" s="148"/>
      <c r="I828" s="148"/>
      <c r="J828" s="148"/>
      <c r="L828" s="134"/>
    </row>
    <row r="829">
      <c r="A829" s="148"/>
      <c r="B829" s="148"/>
      <c r="C829" s="148"/>
      <c r="D829" s="148"/>
      <c r="F829" s="148"/>
      <c r="G829" s="148"/>
      <c r="H829" s="148"/>
      <c r="I829" s="148"/>
      <c r="J829" s="148"/>
      <c r="L829" s="134"/>
    </row>
    <row r="830">
      <c r="A830" s="148"/>
      <c r="B830" s="148"/>
      <c r="C830" s="148"/>
      <c r="D830" s="148"/>
      <c r="F830" s="148"/>
      <c r="G830" s="148"/>
      <c r="H830" s="148"/>
      <c r="I830" s="148"/>
      <c r="J830" s="148"/>
      <c r="L830" s="134"/>
    </row>
    <row r="831">
      <c r="A831" s="148"/>
      <c r="B831" s="148"/>
      <c r="C831" s="148"/>
      <c r="D831" s="148"/>
      <c r="F831" s="148"/>
      <c r="G831" s="148"/>
      <c r="H831" s="148"/>
      <c r="I831" s="148"/>
      <c r="J831" s="148"/>
      <c r="L831" s="134"/>
    </row>
    <row r="832">
      <c r="A832" s="148"/>
      <c r="B832" s="148"/>
      <c r="C832" s="148"/>
      <c r="D832" s="148"/>
      <c r="F832" s="148"/>
      <c r="G832" s="148"/>
      <c r="H832" s="148"/>
      <c r="I832" s="148"/>
      <c r="J832" s="148"/>
      <c r="L832" s="134"/>
    </row>
    <row r="833">
      <c r="A833" s="148"/>
      <c r="B833" s="148"/>
      <c r="C833" s="148"/>
      <c r="D833" s="148"/>
      <c r="F833" s="148"/>
      <c r="G833" s="148"/>
      <c r="H833" s="148"/>
      <c r="I833" s="148"/>
      <c r="J833" s="148"/>
      <c r="L833" s="134"/>
    </row>
    <row r="834">
      <c r="A834" s="148"/>
      <c r="B834" s="148"/>
      <c r="C834" s="148"/>
      <c r="D834" s="148"/>
      <c r="F834" s="148"/>
      <c r="G834" s="148"/>
      <c r="H834" s="148"/>
      <c r="I834" s="148"/>
      <c r="J834" s="148"/>
      <c r="L834" s="134"/>
    </row>
    <row r="835">
      <c r="A835" s="148"/>
      <c r="B835" s="148"/>
      <c r="C835" s="148"/>
      <c r="D835" s="148"/>
      <c r="F835" s="148"/>
      <c r="G835" s="148"/>
      <c r="H835" s="148"/>
      <c r="I835" s="148"/>
      <c r="J835" s="148"/>
      <c r="L835" s="134"/>
    </row>
    <row r="836">
      <c r="A836" s="148"/>
      <c r="B836" s="148"/>
      <c r="C836" s="148"/>
      <c r="D836" s="148"/>
      <c r="F836" s="148"/>
      <c r="G836" s="148"/>
      <c r="H836" s="148"/>
      <c r="I836" s="148"/>
      <c r="J836" s="148"/>
      <c r="L836" s="134"/>
    </row>
    <row r="837">
      <c r="A837" s="148"/>
      <c r="B837" s="148"/>
      <c r="C837" s="148"/>
      <c r="D837" s="148"/>
      <c r="F837" s="148"/>
      <c r="G837" s="148"/>
      <c r="H837" s="148"/>
      <c r="I837" s="148"/>
      <c r="J837" s="148"/>
      <c r="L837" s="134"/>
    </row>
    <row r="838">
      <c r="A838" s="148"/>
      <c r="B838" s="148"/>
      <c r="C838" s="148"/>
      <c r="D838" s="148"/>
      <c r="F838" s="148"/>
      <c r="G838" s="148"/>
      <c r="H838" s="148"/>
      <c r="I838" s="148"/>
      <c r="J838" s="148"/>
      <c r="L838" s="134"/>
    </row>
    <row r="839">
      <c r="A839" s="148"/>
      <c r="B839" s="148"/>
      <c r="C839" s="148"/>
      <c r="D839" s="148"/>
      <c r="F839" s="148"/>
      <c r="G839" s="148"/>
      <c r="H839" s="148"/>
      <c r="I839" s="148"/>
      <c r="J839" s="148"/>
      <c r="L839" s="134"/>
    </row>
    <row r="840">
      <c r="A840" s="148"/>
      <c r="B840" s="148"/>
      <c r="C840" s="148"/>
      <c r="D840" s="148"/>
      <c r="F840" s="148"/>
      <c r="G840" s="148"/>
      <c r="H840" s="148"/>
      <c r="I840" s="148"/>
      <c r="J840" s="148"/>
      <c r="L840" s="134"/>
    </row>
    <row r="841">
      <c r="A841" s="148"/>
      <c r="B841" s="148"/>
      <c r="C841" s="148"/>
      <c r="D841" s="148"/>
      <c r="F841" s="148"/>
      <c r="G841" s="148"/>
      <c r="H841" s="148"/>
      <c r="I841" s="148"/>
      <c r="J841" s="148"/>
      <c r="L841" s="134"/>
    </row>
    <row r="842">
      <c r="A842" s="148"/>
      <c r="B842" s="148"/>
      <c r="C842" s="148"/>
      <c r="D842" s="148"/>
      <c r="F842" s="148"/>
      <c r="G842" s="148"/>
      <c r="H842" s="148"/>
      <c r="I842" s="148"/>
      <c r="J842" s="148"/>
      <c r="L842" s="134"/>
    </row>
    <row r="843">
      <c r="A843" s="148"/>
      <c r="B843" s="148"/>
      <c r="C843" s="148"/>
      <c r="D843" s="148"/>
      <c r="F843" s="148"/>
      <c r="G843" s="148"/>
      <c r="H843" s="148"/>
      <c r="I843" s="148"/>
      <c r="J843" s="148"/>
      <c r="L843" s="134"/>
    </row>
    <row r="844">
      <c r="A844" s="148"/>
      <c r="B844" s="148"/>
      <c r="C844" s="148"/>
      <c r="D844" s="148"/>
      <c r="F844" s="148"/>
      <c r="G844" s="148"/>
      <c r="H844" s="148"/>
      <c r="I844" s="148"/>
      <c r="J844" s="148"/>
      <c r="L844" s="134"/>
    </row>
    <row r="845">
      <c r="A845" s="148"/>
      <c r="B845" s="148"/>
      <c r="C845" s="148"/>
      <c r="D845" s="148"/>
      <c r="F845" s="148"/>
      <c r="G845" s="148"/>
      <c r="H845" s="148"/>
      <c r="I845" s="148"/>
      <c r="J845" s="148"/>
      <c r="L845" s="134"/>
    </row>
    <row r="846">
      <c r="A846" s="148"/>
      <c r="B846" s="148"/>
      <c r="C846" s="148"/>
      <c r="D846" s="148"/>
      <c r="F846" s="148"/>
      <c r="G846" s="148"/>
      <c r="H846" s="148"/>
      <c r="I846" s="148"/>
      <c r="J846" s="148"/>
      <c r="L846" s="134"/>
    </row>
    <row r="847">
      <c r="A847" s="148"/>
      <c r="B847" s="148"/>
      <c r="C847" s="148"/>
      <c r="D847" s="148"/>
      <c r="F847" s="148"/>
      <c r="G847" s="148"/>
      <c r="H847" s="148"/>
      <c r="I847" s="148"/>
      <c r="J847" s="148"/>
      <c r="L847" s="134"/>
    </row>
    <row r="848">
      <c r="A848" s="148"/>
      <c r="B848" s="148"/>
      <c r="C848" s="148"/>
      <c r="D848" s="148"/>
      <c r="F848" s="148"/>
      <c r="G848" s="148"/>
      <c r="H848" s="148"/>
      <c r="I848" s="148"/>
      <c r="J848" s="148"/>
      <c r="L848" s="134"/>
    </row>
    <row r="849">
      <c r="A849" s="148"/>
      <c r="B849" s="148"/>
      <c r="C849" s="148"/>
      <c r="D849" s="148"/>
      <c r="F849" s="148"/>
      <c r="G849" s="148"/>
      <c r="H849" s="148"/>
      <c r="I849" s="148"/>
      <c r="J849" s="148"/>
      <c r="L849" s="134"/>
    </row>
    <row r="850">
      <c r="A850" s="148"/>
      <c r="B850" s="148"/>
      <c r="C850" s="148"/>
      <c r="D850" s="148"/>
      <c r="F850" s="148"/>
      <c r="G850" s="148"/>
      <c r="H850" s="148"/>
      <c r="I850" s="148"/>
      <c r="J850" s="148"/>
      <c r="L850" s="134"/>
    </row>
    <row r="851">
      <c r="A851" s="148"/>
      <c r="B851" s="148"/>
      <c r="C851" s="148"/>
      <c r="D851" s="148"/>
      <c r="F851" s="148"/>
      <c r="G851" s="148"/>
      <c r="H851" s="148"/>
      <c r="I851" s="148"/>
      <c r="J851" s="148"/>
      <c r="L851" s="134"/>
    </row>
    <row r="852">
      <c r="A852" s="148"/>
      <c r="B852" s="148"/>
      <c r="C852" s="148"/>
      <c r="D852" s="148"/>
      <c r="F852" s="148"/>
      <c r="G852" s="148"/>
      <c r="H852" s="148"/>
      <c r="I852" s="148"/>
      <c r="J852" s="148"/>
      <c r="L852" s="134"/>
    </row>
    <row r="853">
      <c r="A853" s="148"/>
      <c r="B853" s="148"/>
      <c r="C853" s="148"/>
      <c r="D853" s="148"/>
      <c r="F853" s="148"/>
      <c r="G853" s="148"/>
      <c r="H853" s="148"/>
      <c r="I853" s="148"/>
      <c r="J853" s="148"/>
      <c r="L853" s="134"/>
    </row>
    <row r="854">
      <c r="A854" s="148"/>
      <c r="B854" s="148"/>
      <c r="C854" s="148"/>
      <c r="D854" s="148"/>
      <c r="F854" s="148"/>
      <c r="G854" s="148"/>
      <c r="H854" s="148"/>
      <c r="I854" s="148"/>
      <c r="J854" s="148"/>
      <c r="L854" s="134"/>
    </row>
    <row r="855">
      <c r="A855" s="148"/>
      <c r="B855" s="148"/>
      <c r="C855" s="148"/>
      <c r="D855" s="148"/>
      <c r="F855" s="148"/>
      <c r="G855" s="148"/>
      <c r="H855" s="148"/>
      <c r="I855" s="148"/>
      <c r="J855" s="148"/>
      <c r="L855" s="134"/>
    </row>
    <row r="856">
      <c r="A856" s="148"/>
      <c r="B856" s="148"/>
      <c r="C856" s="148"/>
      <c r="D856" s="148"/>
      <c r="F856" s="148"/>
      <c r="G856" s="148"/>
      <c r="H856" s="148"/>
      <c r="I856" s="148"/>
      <c r="J856" s="148"/>
      <c r="L856" s="134"/>
    </row>
    <row r="857">
      <c r="A857" s="148"/>
      <c r="B857" s="148"/>
      <c r="C857" s="148"/>
      <c r="D857" s="148"/>
      <c r="F857" s="148"/>
      <c r="G857" s="148"/>
      <c r="H857" s="148"/>
      <c r="I857" s="148"/>
      <c r="J857" s="148"/>
      <c r="L857" s="134"/>
    </row>
    <row r="858">
      <c r="A858" s="148"/>
      <c r="B858" s="148"/>
      <c r="C858" s="148"/>
      <c r="D858" s="148"/>
      <c r="F858" s="148"/>
      <c r="G858" s="148"/>
      <c r="H858" s="148"/>
      <c r="I858" s="148"/>
      <c r="J858" s="148"/>
      <c r="L858" s="134"/>
    </row>
    <row r="859">
      <c r="A859" s="148"/>
      <c r="B859" s="148"/>
      <c r="C859" s="148"/>
      <c r="D859" s="148"/>
      <c r="F859" s="148"/>
      <c r="G859" s="148"/>
      <c r="H859" s="148"/>
      <c r="I859" s="148"/>
      <c r="J859" s="148"/>
      <c r="L859" s="134"/>
    </row>
    <row r="860">
      <c r="A860" s="148"/>
      <c r="B860" s="148"/>
      <c r="C860" s="148"/>
      <c r="D860" s="148"/>
      <c r="F860" s="148"/>
      <c r="G860" s="148"/>
      <c r="H860" s="148"/>
      <c r="I860" s="148"/>
      <c r="J860" s="148"/>
      <c r="L860" s="134"/>
    </row>
    <row r="861">
      <c r="A861" s="148"/>
      <c r="B861" s="148"/>
      <c r="C861" s="148"/>
      <c r="D861" s="148"/>
      <c r="F861" s="148"/>
      <c r="G861" s="148"/>
      <c r="H861" s="148"/>
      <c r="I861" s="148"/>
      <c r="J861" s="148"/>
      <c r="L861" s="134"/>
    </row>
    <row r="862">
      <c r="A862" s="148"/>
      <c r="B862" s="148"/>
      <c r="C862" s="148"/>
      <c r="D862" s="148"/>
      <c r="F862" s="148"/>
      <c r="G862" s="148"/>
      <c r="H862" s="148"/>
      <c r="I862" s="148"/>
      <c r="J862" s="148"/>
      <c r="L862" s="134"/>
    </row>
    <row r="863">
      <c r="A863" s="148"/>
      <c r="B863" s="148"/>
      <c r="C863" s="148"/>
      <c r="D863" s="148"/>
      <c r="F863" s="148"/>
      <c r="G863" s="148"/>
      <c r="H863" s="148"/>
      <c r="I863" s="148"/>
      <c r="J863" s="148"/>
      <c r="L863" s="134"/>
    </row>
    <row r="864">
      <c r="A864" s="148"/>
      <c r="B864" s="148"/>
      <c r="C864" s="148"/>
      <c r="D864" s="148"/>
      <c r="F864" s="148"/>
      <c r="G864" s="148"/>
      <c r="H864" s="148"/>
      <c r="I864" s="148"/>
      <c r="J864" s="148"/>
      <c r="L864" s="134"/>
    </row>
    <row r="865">
      <c r="A865" s="148"/>
      <c r="B865" s="148"/>
      <c r="C865" s="148"/>
      <c r="D865" s="148"/>
      <c r="F865" s="148"/>
      <c r="G865" s="148"/>
      <c r="H865" s="148"/>
      <c r="I865" s="148"/>
      <c r="J865" s="148"/>
      <c r="L865" s="134"/>
    </row>
    <row r="866">
      <c r="A866" s="148"/>
      <c r="B866" s="148"/>
      <c r="C866" s="148"/>
      <c r="D866" s="148"/>
      <c r="F866" s="148"/>
      <c r="G866" s="148"/>
      <c r="H866" s="148"/>
      <c r="I866" s="148"/>
      <c r="J866" s="148"/>
      <c r="L866" s="134"/>
    </row>
    <row r="867">
      <c r="A867" s="148"/>
      <c r="B867" s="148"/>
      <c r="C867" s="148"/>
      <c r="D867" s="148"/>
      <c r="F867" s="148"/>
      <c r="G867" s="148"/>
      <c r="H867" s="148"/>
      <c r="I867" s="148"/>
      <c r="J867" s="148"/>
      <c r="L867" s="134"/>
    </row>
    <row r="868">
      <c r="A868" s="148"/>
      <c r="B868" s="148"/>
      <c r="C868" s="148"/>
      <c r="D868" s="148"/>
      <c r="F868" s="148"/>
      <c r="G868" s="148"/>
      <c r="H868" s="148"/>
      <c r="I868" s="148"/>
      <c r="J868" s="148"/>
      <c r="L868" s="134"/>
    </row>
    <row r="869">
      <c r="A869" s="148"/>
      <c r="B869" s="148"/>
      <c r="C869" s="148"/>
      <c r="D869" s="148"/>
      <c r="F869" s="148"/>
      <c r="G869" s="148"/>
      <c r="H869" s="148"/>
      <c r="I869" s="148"/>
      <c r="J869" s="148"/>
      <c r="L869" s="134"/>
    </row>
    <row r="870">
      <c r="A870" s="148"/>
      <c r="B870" s="148"/>
      <c r="C870" s="148"/>
      <c r="D870" s="148"/>
      <c r="F870" s="148"/>
      <c r="G870" s="148"/>
      <c r="H870" s="148"/>
      <c r="I870" s="148"/>
      <c r="J870" s="148"/>
      <c r="L870" s="134"/>
    </row>
    <row r="871">
      <c r="A871" s="148"/>
      <c r="B871" s="148"/>
      <c r="C871" s="148"/>
      <c r="D871" s="148"/>
      <c r="F871" s="148"/>
      <c r="G871" s="148"/>
      <c r="H871" s="148"/>
      <c r="I871" s="148"/>
      <c r="J871" s="148"/>
      <c r="L871" s="134"/>
    </row>
    <row r="872">
      <c r="A872" s="148"/>
      <c r="B872" s="148"/>
      <c r="C872" s="148"/>
      <c r="D872" s="148"/>
      <c r="F872" s="148"/>
      <c r="G872" s="148"/>
      <c r="H872" s="148"/>
      <c r="I872" s="148"/>
      <c r="J872" s="148"/>
      <c r="L872" s="134"/>
    </row>
    <row r="873">
      <c r="A873" s="148"/>
      <c r="B873" s="148"/>
      <c r="C873" s="148"/>
      <c r="D873" s="148"/>
      <c r="F873" s="148"/>
      <c r="G873" s="148"/>
      <c r="H873" s="148"/>
      <c r="I873" s="148"/>
      <c r="J873" s="148"/>
      <c r="L873" s="134"/>
    </row>
    <row r="874">
      <c r="A874" s="148"/>
      <c r="B874" s="148"/>
      <c r="C874" s="148"/>
      <c r="D874" s="148"/>
      <c r="F874" s="148"/>
      <c r="G874" s="148"/>
      <c r="H874" s="148"/>
      <c r="I874" s="148"/>
      <c r="J874" s="148"/>
      <c r="L874" s="134"/>
    </row>
    <row r="875">
      <c r="A875" s="148"/>
      <c r="B875" s="148"/>
      <c r="C875" s="148"/>
      <c r="D875" s="148"/>
      <c r="F875" s="148"/>
      <c r="G875" s="148"/>
      <c r="H875" s="148"/>
      <c r="I875" s="148"/>
      <c r="J875" s="148"/>
      <c r="L875" s="134"/>
    </row>
    <row r="876">
      <c r="A876" s="148"/>
      <c r="B876" s="148"/>
      <c r="C876" s="148"/>
      <c r="D876" s="148"/>
      <c r="F876" s="148"/>
      <c r="G876" s="148"/>
      <c r="H876" s="148"/>
      <c r="I876" s="148"/>
      <c r="J876" s="148"/>
      <c r="L876" s="134"/>
    </row>
    <row r="877">
      <c r="A877" s="148"/>
      <c r="B877" s="148"/>
      <c r="C877" s="148"/>
      <c r="D877" s="148"/>
      <c r="F877" s="148"/>
      <c r="G877" s="148"/>
      <c r="H877" s="148"/>
      <c r="I877" s="148"/>
      <c r="J877" s="148"/>
      <c r="L877" s="134"/>
    </row>
    <row r="878">
      <c r="A878" s="148"/>
      <c r="B878" s="148"/>
      <c r="C878" s="148"/>
      <c r="D878" s="148"/>
      <c r="F878" s="148"/>
      <c r="G878" s="148"/>
      <c r="H878" s="148"/>
      <c r="I878" s="148"/>
      <c r="J878" s="148"/>
      <c r="L878" s="134"/>
    </row>
    <row r="879">
      <c r="A879" s="148"/>
      <c r="B879" s="148"/>
      <c r="C879" s="148"/>
      <c r="D879" s="148"/>
      <c r="F879" s="148"/>
      <c r="G879" s="148"/>
      <c r="H879" s="148"/>
      <c r="I879" s="148"/>
      <c r="J879" s="148"/>
      <c r="L879" s="134"/>
    </row>
    <row r="880">
      <c r="A880" s="148"/>
      <c r="B880" s="148"/>
      <c r="C880" s="148"/>
      <c r="D880" s="148"/>
      <c r="F880" s="148"/>
      <c r="G880" s="148"/>
      <c r="H880" s="148"/>
      <c r="I880" s="148"/>
      <c r="J880" s="148"/>
      <c r="L880" s="134"/>
    </row>
    <row r="881">
      <c r="A881" s="148"/>
      <c r="B881" s="148"/>
      <c r="C881" s="148"/>
      <c r="D881" s="148"/>
      <c r="F881" s="148"/>
      <c r="G881" s="148"/>
      <c r="H881" s="148"/>
      <c r="I881" s="148"/>
      <c r="J881" s="148"/>
      <c r="L881" s="134"/>
    </row>
    <row r="882">
      <c r="A882" s="148"/>
      <c r="B882" s="148"/>
      <c r="C882" s="148"/>
      <c r="D882" s="148"/>
      <c r="F882" s="148"/>
      <c r="G882" s="148"/>
      <c r="H882" s="148"/>
      <c r="I882" s="148"/>
      <c r="J882" s="148"/>
      <c r="L882" s="134"/>
    </row>
    <row r="883">
      <c r="A883" s="148"/>
      <c r="B883" s="148"/>
      <c r="C883" s="148"/>
      <c r="D883" s="148"/>
      <c r="F883" s="148"/>
      <c r="G883" s="148"/>
      <c r="H883" s="148"/>
      <c r="I883" s="148"/>
      <c r="J883" s="148"/>
      <c r="L883" s="134"/>
    </row>
    <row r="884">
      <c r="A884" s="148"/>
      <c r="B884" s="148"/>
      <c r="C884" s="148"/>
      <c r="D884" s="148"/>
      <c r="F884" s="148"/>
      <c r="G884" s="148"/>
      <c r="H884" s="148"/>
      <c r="I884" s="148"/>
      <c r="J884" s="148"/>
      <c r="L884" s="134"/>
    </row>
    <row r="885">
      <c r="A885" s="148"/>
      <c r="B885" s="148"/>
      <c r="C885" s="148"/>
      <c r="D885" s="148"/>
      <c r="F885" s="148"/>
      <c r="G885" s="148"/>
      <c r="H885" s="148"/>
      <c r="I885" s="148"/>
      <c r="J885" s="148"/>
      <c r="L885" s="134"/>
    </row>
    <row r="886">
      <c r="A886" s="148"/>
      <c r="B886" s="148"/>
      <c r="C886" s="148"/>
      <c r="D886" s="148"/>
      <c r="F886" s="148"/>
      <c r="G886" s="148"/>
      <c r="H886" s="148"/>
      <c r="I886" s="148"/>
      <c r="J886" s="148"/>
      <c r="L886" s="134"/>
    </row>
    <row r="887">
      <c r="A887" s="148"/>
      <c r="B887" s="148"/>
      <c r="C887" s="148"/>
      <c r="D887" s="148"/>
      <c r="F887" s="148"/>
      <c r="G887" s="148"/>
      <c r="H887" s="148"/>
      <c r="I887" s="148"/>
      <c r="J887" s="148"/>
      <c r="L887" s="134"/>
    </row>
    <row r="888">
      <c r="A888" s="148"/>
      <c r="B888" s="148"/>
      <c r="C888" s="148"/>
      <c r="D888" s="148"/>
      <c r="F888" s="148"/>
      <c r="G888" s="148"/>
      <c r="H888" s="148"/>
      <c r="I888" s="148"/>
      <c r="J888" s="148"/>
      <c r="L888" s="134"/>
    </row>
    <row r="889">
      <c r="A889" s="148"/>
      <c r="B889" s="148"/>
      <c r="C889" s="148"/>
      <c r="D889" s="148"/>
      <c r="F889" s="148"/>
      <c r="G889" s="148"/>
      <c r="H889" s="148"/>
      <c r="I889" s="148"/>
      <c r="J889" s="148"/>
      <c r="L889" s="134"/>
    </row>
    <row r="890">
      <c r="A890" s="148"/>
      <c r="B890" s="148"/>
      <c r="C890" s="148"/>
      <c r="D890" s="148"/>
      <c r="F890" s="148"/>
      <c r="G890" s="148"/>
      <c r="H890" s="148"/>
      <c r="I890" s="148"/>
      <c r="J890" s="148"/>
      <c r="L890" s="134"/>
    </row>
    <row r="891">
      <c r="A891" s="148"/>
      <c r="B891" s="148"/>
      <c r="C891" s="148"/>
      <c r="D891" s="148"/>
      <c r="F891" s="148"/>
      <c r="G891" s="148"/>
      <c r="H891" s="148"/>
      <c r="I891" s="148"/>
      <c r="J891" s="148"/>
      <c r="L891" s="134"/>
    </row>
    <row r="892">
      <c r="A892" s="148"/>
      <c r="B892" s="148"/>
      <c r="C892" s="148"/>
      <c r="D892" s="148"/>
      <c r="F892" s="148"/>
      <c r="G892" s="148"/>
      <c r="H892" s="148"/>
      <c r="I892" s="148"/>
      <c r="J892" s="148"/>
      <c r="L892" s="134"/>
    </row>
    <row r="893">
      <c r="A893" s="148"/>
      <c r="B893" s="148"/>
      <c r="C893" s="148"/>
      <c r="D893" s="148"/>
      <c r="F893" s="148"/>
      <c r="G893" s="148"/>
      <c r="H893" s="148"/>
      <c r="I893" s="148"/>
      <c r="J893" s="148"/>
      <c r="L893" s="134"/>
    </row>
    <row r="894">
      <c r="A894" s="148"/>
      <c r="B894" s="148"/>
      <c r="C894" s="148"/>
      <c r="D894" s="148"/>
      <c r="F894" s="148"/>
      <c r="G894" s="148"/>
      <c r="H894" s="148"/>
      <c r="I894" s="148"/>
      <c r="J894" s="148"/>
      <c r="L894" s="134"/>
    </row>
    <row r="895">
      <c r="A895" s="148"/>
      <c r="B895" s="148"/>
      <c r="C895" s="148"/>
      <c r="D895" s="148"/>
      <c r="F895" s="148"/>
      <c r="G895" s="148"/>
      <c r="H895" s="148"/>
      <c r="I895" s="148"/>
      <c r="J895" s="148"/>
      <c r="L895" s="134"/>
    </row>
    <row r="896">
      <c r="A896" s="148"/>
      <c r="B896" s="148"/>
      <c r="C896" s="148"/>
      <c r="D896" s="148"/>
      <c r="F896" s="148"/>
      <c r="G896" s="148"/>
      <c r="H896" s="148"/>
      <c r="I896" s="148"/>
      <c r="J896" s="148"/>
      <c r="L896" s="134"/>
    </row>
    <row r="897">
      <c r="A897" s="148"/>
      <c r="B897" s="148"/>
      <c r="C897" s="148"/>
      <c r="D897" s="148"/>
      <c r="F897" s="148"/>
      <c r="G897" s="148"/>
      <c r="H897" s="148"/>
      <c r="I897" s="148"/>
      <c r="J897" s="148"/>
      <c r="L897" s="134"/>
    </row>
    <row r="898">
      <c r="A898" s="148"/>
      <c r="B898" s="148"/>
      <c r="C898" s="148"/>
      <c r="D898" s="148"/>
      <c r="F898" s="148"/>
      <c r="G898" s="148"/>
      <c r="H898" s="148"/>
      <c r="I898" s="148"/>
      <c r="J898" s="148"/>
      <c r="L898" s="134"/>
    </row>
    <row r="899">
      <c r="A899" s="148"/>
      <c r="B899" s="148"/>
      <c r="C899" s="148"/>
      <c r="D899" s="148"/>
      <c r="F899" s="148"/>
      <c r="G899" s="148"/>
      <c r="H899" s="148"/>
      <c r="I899" s="148"/>
      <c r="J899" s="148"/>
      <c r="L899" s="134"/>
    </row>
    <row r="900">
      <c r="A900" s="148"/>
      <c r="B900" s="148"/>
      <c r="C900" s="148"/>
      <c r="D900" s="148"/>
      <c r="F900" s="148"/>
      <c r="G900" s="148"/>
      <c r="H900" s="148"/>
      <c r="I900" s="148"/>
      <c r="J900" s="148"/>
      <c r="L900" s="134"/>
    </row>
    <row r="901">
      <c r="A901" s="148"/>
      <c r="B901" s="148"/>
      <c r="C901" s="148"/>
      <c r="D901" s="148"/>
      <c r="F901" s="148"/>
      <c r="G901" s="148"/>
      <c r="H901" s="148"/>
      <c r="I901" s="148"/>
      <c r="J901" s="148"/>
      <c r="L901" s="134"/>
    </row>
    <row r="902">
      <c r="A902" s="148"/>
      <c r="B902" s="148"/>
      <c r="C902" s="148"/>
      <c r="D902" s="148"/>
      <c r="F902" s="148"/>
      <c r="G902" s="148"/>
      <c r="H902" s="148"/>
      <c r="I902" s="148"/>
      <c r="J902" s="148"/>
      <c r="L902" s="134"/>
    </row>
    <row r="903">
      <c r="A903" s="148"/>
      <c r="B903" s="148"/>
      <c r="C903" s="148"/>
      <c r="D903" s="148"/>
      <c r="F903" s="148"/>
      <c r="G903" s="148"/>
      <c r="H903" s="148"/>
      <c r="I903" s="148"/>
      <c r="J903" s="148"/>
      <c r="L903" s="134"/>
    </row>
    <row r="904">
      <c r="A904" s="148"/>
      <c r="B904" s="148"/>
      <c r="C904" s="148"/>
      <c r="D904" s="148"/>
      <c r="F904" s="148"/>
      <c r="G904" s="148"/>
      <c r="H904" s="148"/>
      <c r="I904" s="148"/>
      <c r="J904" s="148"/>
      <c r="L904" s="134"/>
    </row>
    <row r="905">
      <c r="A905" s="148"/>
      <c r="B905" s="148"/>
      <c r="C905" s="148"/>
      <c r="D905" s="148"/>
      <c r="F905" s="148"/>
      <c r="G905" s="148"/>
      <c r="H905" s="148"/>
      <c r="I905" s="148"/>
      <c r="J905" s="148"/>
      <c r="L905" s="134"/>
    </row>
    <row r="906">
      <c r="A906" s="148"/>
      <c r="B906" s="148"/>
      <c r="C906" s="148"/>
      <c r="D906" s="148"/>
      <c r="F906" s="148"/>
      <c r="G906" s="148"/>
      <c r="H906" s="148"/>
      <c r="I906" s="148"/>
      <c r="J906" s="148"/>
      <c r="L906" s="134"/>
    </row>
    <row r="907">
      <c r="A907" s="148"/>
      <c r="B907" s="148"/>
      <c r="C907" s="148"/>
      <c r="D907" s="148"/>
      <c r="F907" s="148"/>
      <c r="G907" s="148"/>
      <c r="H907" s="148"/>
      <c r="I907" s="148"/>
      <c r="J907" s="148"/>
      <c r="L907" s="134"/>
    </row>
    <row r="908">
      <c r="A908" s="148"/>
      <c r="B908" s="148"/>
      <c r="C908" s="148"/>
      <c r="D908" s="148"/>
      <c r="F908" s="148"/>
      <c r="G908" s="148"/>
      <c r="H908" s="148"/>
      <c r="I908" s="148"/>
      <c r="J908" s="148"/>
      <c r="L908" s="134"/>
    </row>
    <row r="909">
      <c r="A909" s="148"/>
      <c r="B909" s="148"/>
      <c r="C909" s="148"/>
      <c r="D909" s="148"/>
      <c r="F909" s="148"/>
      <c r="G909" s="148"/>
      <c r="H909" s="148"/>
      <c r="I909" s="148"/>
      <c r="J909" s="148"/>
      <c r="L909" s="134"/>
    </row>
    <row r="910">
      <c r="A910" s="148"/>
      <c r="B910" s="148"/>
      <c r="C910" s="148"/>
      <c r="D910" s="148"/>
      <c r="F910" s="148"/>
      <c r="G910" s="148"/>
      <c r="H910" s="148"/>
      <c r="I910" s="148"/>
      <c r="J910" s="148"/>
      <c r="L910" s="134"/>
    </row>
    <row r="911">
      <c r="A911" s="148"/>
      <c r="B911" s="148"/>
      <c r="C911" s="148"/>
      <c r="D911" s="148"/>
      <c r="F911" s="148"/>
      <c r="G911" s="148"/>
      <c r="H911" s="148"/>
      <c r="I911" s="148"/>
      <c r="J911" s="148"/>
      <c r="L911" s="134"/>
    </row>
    <row r="912">
      <c r="A912" s="148"/>
      <c r="B912" s="148"/>
      <c r="C912" s="148"/>
      <c r="D912" s="148"/>
      <c r="F912" s="148"/>
      <c r="G912" s="148"/>
      <c r="H912" s="148"/>
      <c r="I912" s="148"/>
      <c r="J912" s="148"/>
      <c r="L912" s="134"/>
    </row>
    <row r="913">
      <c r="A913" s="148"/>
      <c r="B913" s="148"/>
      <c r="C913" s="148"/>
      <c r="D913" s="148"/>
      <c r="F913" s="148"/>
      <c r="G913" s="148"/>
      <c r="H913" s="148"/>
      <c r="I913" s="148"/>
      <c r="J913" s="148"/>
      <c r="L913" s="134"/>
    </row>
    <row r="914">
      <c r="A914" s="148"/>
      <c r="B914" s="148"/>
      <c r="C914" s="148"/>
      <c r="D914" s="148"/>
      <c r="F914" s="148"/>
      <c r="G914" s="148"/>
      <c r="H914" s="148"/>
      <c r="I914" s="148"/>
      <c r="J914" s="148"/>
      <c r="L914" s="134"/>
    </row>
    <row r="915">
      <c r="A915" s="148"/>
      <c r="B915" s="148"/>
      <c r="C915" s="148"/>
      <c r="D915" s="148"/>
      <c r="F915" s="148"/>
      <c r="G915" s="148"/>
      <c r="H915" s="148"/>
      <c r="I915" s="148"/>
      <c r="J915" s="148"/>
      <c r="L915" s="134"/>
    </row>
    <row r="916">
      <c r="A916" s="148"/>
      <c r="B916" s="148"/>
      <c r="C916" s="148"/>
      <c r="D916" s="148"/>
      <c r="F916" s="148"/>
      <c r="G916" s="148"/>
      <c r="H916" s="148"/>
      <c r="I916" s="148"/>
      <c r="J916" s="148"/>
      <c r="L916" s="134"/>
    </row>
    <row r="917">
      <c r="A917" s="148"/>
      <c r="B917" s="148"/>
      <c r="C917" s="148"/>
      <c r="D917" s="148"/>
      <c r="F917" s="148"/>
      <c r="G917" s="148"/>
      <c r="H917" s="148"/>
      <c r="I917" s="148"/>
      <c r="J917" s="148"/>
      <c r="L917" s="134"/>
    </row>
    <row r="918">
      <c r="A918" s="148"/>
      <c r="B918" s="148"/>
      <c r="C918" s="148"/>
      <c r="D918" s="148"/>
      <c r="F918" s="148"/>
      <c r="G918" s="148"/>
      <c r="H918" s="148"/>
      <c r="I918" s="148"/>
      <c r="J918" s="148"/>
      <c r="L918" s="134"/>
    </row>
    <row r="919">
      <c r="A919" s="148"/>
      <c r="B919" s="148"/>
      <c r="C919" s="148"/>
      <c r="D919" s="148"/>
      <c r="F919" s="148"/>
      <c r="G919" s="148"/>
      <c r="H919" s="148"/>
      <c r="I919" s="148"/>
      <c r="J919" s="148"/>
      <c r="L919" s="134"/>
    </row>
    <row r="920">
      <c r="A920" s="148"/>
      <c r="B920" s="148"/>
      <c r="C920" s="148"/>
      <c r="D920" s="148"/>
      <c r="F920" s="148"/>
      <c r="G920" s="148"/>
      <c r="H920" s="148"/>
      <c r="I920" s="148"/>
      <c r="J920" s="148"/>
      <c r="L920" s="134"/>
    </row>
    <row r="921">
      <c r="A921" s="148"/>
      <c r="B921" s="148"/>
      <c r="C921" s="148"/>
      <c r="D921" s="148"/>
      <c r="F921" s="148"/>
      <c r="G921" s="148"/>
      <c r="H921" s="148"/>
      <c r="I921" s="148"/>
      <c r="J921" s="148"/>
      <c r="L921" s="134"/>
    </row>
    <row r="922">
      <c r="A922" s="148"/>
      <c r="B922" s="148"/>
      <c r="C922" s="148"/>
      <c r="D922" s="148"/>
      <c r="F922" s="148"/>
      <c r="G922" s="148"/>
      <c r="H922" s="148"/>
      <c r="I922" s="148"/>
      <c r="J922" s="148"/>
      <c r="L922" s="134"/>
    </row>
    <row r="923">
      <c r="A923" s="148"/>
      <c r="B923" s="148"/>
      <c r="C923" s="148"/>
      <c r="D923" s="148"/>
      <c r="F923" s="148"/>
      <c r="G923" s="148"/>
      <c r="H923" s="148"/>
      <c r="I923" s="148"/>
      <c r="J923" s="148"/>
      <c r="L923" s="134"/>
    </row>
    <row r="924">
      <c r="A924" s="148"/>
      <c r="B924" s="148"/>
      <c r="C924" s="148"/>
      <c r="D924" s="148"/>
      <c r="F924" s="148"/>
      <c r="G924" s="148"/>
      <c r="H924" s="148"/>
      <c r="I924" s="148"/>
      <c r="J924" s="148"/>
      <c r="L924" s="134"/>
    </row>
    <row r="925">
      <c r="A925" s="148"/>
      <c r="B925" s="148"/>
      <c r="C925" s="148"/>
      <c r="D925" s="148"/>
      <c r="F925" s="148"/>
      <c r="G925" s="148"/>
      <c r="H925" s="148"/>
      <c r="I925" s="148"/>
      <c r="J925" s="148"/>
      <c r="L925" s="134"/>
    </row>
    <row r="926">
      <c r="A926" s="148"/>
      <c r="B926" s="148"/>
      <c r="C926" s="148"/>
      <c r="D926" s="148"/>
      <c r="F926" s="148"/>
      <c r="G926" s="148"/>
      <c r="H926" s="148"/>
      <c r="I926" s="148"/>
      <c r="J926" s="148"/>
      <c r="L926" s="134"/>
    </row>
    <row r="927">
      <c r="A927" s="148"/>
      <c r="B927" s="148"/>
      <c r="C927" s="148"/>
      <c r="D927" s="148"/>
      <c r="F927" s="148"/>
      <c r="G927" s="148"/>
      <c r="H927" s="148"/>
      <c r="I927" s="148"/>
      <c r="J927" s="148"/>
      <c r="L927" s="134"/>
    </row>
    <row r="928">
      <c r="A928" s="148"/>
      <c r="B928" s="148"/>
      <c r="C928" s="148"/>
      <c r="D928" s="148"/>
      <c r="F928" s="148"/>
      <c r="G928" s="148"/>
      <c r="H928" s="148"/>
      <c r="I928" s="148"/>
      <c r="J928" s="148"/>
      <c r="L928" s="134"/>
    </row>
    <row r="929">
      <c r="A929" s="148"/>
      <c r="B929" s="148"/>
      <c r="C929" s="148"/>
      <c r="D929" s="148"/>
      <c r="F929" s="148"/>
      <c r="G929" s="148"/>
      <c r="H929" s="148"/>
      <c r="I929" s="148"/>
      <c r="J929" s="148"/>
      <c r="L929" s="134"/>
    </row>
    <row r="930">
      <c r="A930" s="148"/>
      <c r="B930" s="148"/>
      <c r="C930" s="148"/>
      <c r="D930" s="148"/>
      <c r="F930" s="148"/>
      <c r="G930" s="148"/>
      <c r="H930" s="148"/>
      <c r="I930" s="148"/>
      <c r="J930" s="148"/>
      <c r="L930" s="134"/>
    </row>
    <row r="931">
      <c r="A931" s="148"/>
      <c r="B931" s="148"/>
      <c r="C931" s="148"/>
      <c r="D931" s="148"/>
      <c r="F931" s="148"/>
      <c r="G931" s="148"/>
      <c r="H931" s="148"/>
      <c r="I931" s="148"/>
      <c r="J931" s="148"/>
      <c r="L931" s="134"/>
    </row>
    <row r="932">
      <c r="A932" s="148"/>
      <c r="B932" s="148"/>
      <c r="C932" s="148"/>
      <c r="D932" s="148"/>
      <c r="F932" s="148"/>
      <c r="G932" s="148"/>
      <c r="H932" s="148"/>
      <c r="I932" s="148"/>
      <c r="J932" s="148"/>
      <c r="L932" s="134"/>
    </row>
    <row r="933">
      <c r="A933" s="148"/>
      <c r="B933" s="148"/>
      <c r="C933" s="148"/>
      <c r="D933" s="148"/>
      <c r="F933" s="148"/>
      <c r="G933" s="148"/>
      <c r="H933" s="148"/>
      <c r="I933" s="148"/>
      <c r="J933" s="148"/>
      <c r="L933" s="134"/>
    </row>
    <row r="934">
      <c r="A934" s="148"/>
      <c r="B934" s="148"/>
      <c r="C934" s="148"/>
      <c r="D934" s="148"/>
      <c r="F934" s="148"/>
      <c r="G934" s="148"/>
      <c r="H934" s="148"/>
      <c r="I934" s="148"/>
      <c r="J934" s="148"/>
      <c r="L934" s="134"/>
    </row>
    <row r="935">
      <c r="A935" s="148"/>
      <c r="B935" s="148"/>
      <c r="C935" s="148"/>
      <c r="D935" s="148"/>
      <c r="F935" s="148"/>
      <c r="G935" s="148"/>
      <c r="H935" s="148"/>
      <c r="I935" s="148"/>
      <c r="J935" s="148"/>
      <c r="L935" s="134"/>
    </row>
    <row r="936">
      <c r="A936" s="148"/>
      <c r="B936" s="148"/>
      <c r="C936" s="148"/>
      <c r="D936" s="148"/>
      <c r="F936" s="148"/>
      <c r="G936" s="148"/>
      <c r="H936" s="148"/>
      <c r="I936" s="148"/>
      <c r="J936" s="148"/>
      <c r="L936" s="134"/>
    </row>
    <row r="937">
      <c r="A937" s="148"/>
      <c r="B937" s="148"/>
      <c r="C937" s="148"/>
      <c r="D937" s="148"/>
      <c r="F937" s="148"/>
      <c r="G937" s="148"/>
      <c r="H937" s="148"/>
      <c r="I937" s="148"/>
      <c r="J937" s="148"/>
      <c r="L937" s="134"/>
    </row>
    <row r="938">
      <c r="A938" s="148"/>
      <c r="B938" s="148"/>
      <c r="C938" s="148"/>
      <c r="D938" s="148"/>
      <c r="F938" s="148"/>
      <c r="G938" s="148"/>
      <c r="H938" s="148"/>
      <c r="I938" s="148"/>
      <c r="J938" s="148"/>
      <c r="L938" s="134"/>
    </row>
    <row r="939">
      <c r="A939" s="148"/>
      <c r="B939" s="148"/>
      <c r="C939" s="148"/>
      <c r="D939" s="148"/>
      <c r="F939" s="148"/>
      <c r="G939" s="148"/>
      <c r="H939" s="148"/>
      <c r="I939" s="148"/>
      <c r="J939" s="148"/>
      <c r="L939" s="134"/>
    </row>
    <row r="940">
      <c r="A940" s="148"/>
      <c r="B940" s="148"/>
      <c r="C940" s="148"/>
      <c r="D940" s="148"/>
      <c r="F940" s="148"/>
      <c r="G940" s="148"/>
      <c r="H940" s="148"/>
      <c r="I940" s="148"/>
      <c r="J940" s="148"/>
      <c r="L940" s="134"/>
    </row>
    <row r="941">
      <c r="A941" s="148"/>
      <c r="B941" s="148"/>
      <c r="C941" s="148"/>
      <c r="D941" s="148"/>
      <c r="F941" s="148"/>
      <c r="G941" s="148"/>
      <c r="H941" s="148"/>
      <c r="I941" s="148"/>
      <c r="J941" s="148"/>
      <c r="L941" s="134"/>
    </row>
    <row r="942">
      <c r="A942" s="148"/>
      <c r="B942" s="148"/>
      <c r="C942" s="148"/>
      <c r="D942" s="148"/>
      <c r="F942" s="148"/>
      <c r="G942" s="148"/>
      <c r="H942" s="148"/>
      <c r="I942" s="148"/>
      <c r="J942" s="148"/>
      <c r="L942" s="134"/>
    </row>
    <row r="943">
      <c r="A943" s="148"/>
      <c r="B943" s="148"/>
      <c r="C943" s="148"/>
      <c r="D943" s="148"/>
      <c r="F943" s="148"/>
      <c r="G943" s="148"/>
      <c r="H943" s="148"/>
      <c r="I943" s="148"/>
      <c r="J943" s="148"/>
      <c r="L943" s="134"/>
    </row>
    <row r="944">
      <c r="A944" s="148"/>
      <c r="B944" s="148"/>
      <c r="C944" s="148"/>
      <c r="D944" s="148"/>
      <c r="F944" s="148"/>
      <c r="G944" s="148"/>
      <c r="H944" s="148"/>
      <c r="I944" s="148"/>
      <c r="J944" s="148"/>
      <c r="L944" s="134"/>
    </row>
    <row r="945">
      <c r="A945" s="148"/>
      <c r="B945" s="148"/>
      <c r="C945" s="148"/>
      <c r="D945" s="148"/>
      <c r="F945" s="148"/>
      <c r="G945" s="148"/>
      <c r="H945" s="148"/>
      <c r="I945" s="148"/>
      <c r="J945" s="148"/>
      <c r="L945" s="134"/>
    </row>
    <row r="946">
      <c r="A946" s="148"/>
      <c r="B946" s="148"/>
      <c r="C946" s="148"/>
      <c r="D946" s="148"/>
      <c r="F946" s="148"/>
      <c r="G946" s="148"/>
      <c r="H946" s="148"/>
      <c r="I946" s="148"/>
      <c r="J946" s="148"/>
      <c r="L946" s="134"/>
    </row>
    <row r="947">
      <c r="A947" s="148"/>
      <c r="B947" s="148"/>
      <c r="C947" s="148"/>
      <c r="D947" s="148"/>
      <c r="F947" s="148"/>
      <c r="G947" s="148"/>
      <c r="H947" s="148"/>
      <c r="I947" s="148"/>
      <c r="J947" s="148"/>
      <c r="L947" s="134"/>
    </row>
    <row r="948">
      <c r="A948" s="148"/>
      <c r="B948" s="148"/>
      <c r="C948" s="148"/>
      <c r="D948" s="148"/>
      <c r="F948" s="148"/>
      <c r="G948" s="148"/>
      <c r="H948" s="148"/>
      <c r="I948" s="148"/>
      <c r="J948" s="148"/>
      <c r="L948" s="134"/>
    </row>
    <row r="949">
      <c r="A949" s="148"/>
      <c r="B949" s="148"/>
      <c r="C949" s="148"/>
      <c r="D949" s="148"/>
      <c r="F949" s="148"/>
      <c r="G949" s="148"/>
      <c r="H949" s="148"/>
      <c r="I949" s="148"/>
      <c r="J949" s="148"/>
      <c r="L949" s="134"/>
    </row>
    <row r="950">
      <c r="A950" s="148"/>
      <c r="B950" s="148"/>
      <c r="C950" s="148"/>
      <c r="D950" s="148"/>
      <c r="F950" s="148"/>
      <c r="G950" s="148"/>
      <c r="H950" s="148"/>
      <c r="I950" s="148"/>
      <c r="J950" s="148"/>
      <c r="L950" s="134"/>
    </row>
    <row r="951">
      <c r="A951" s="148"/>
      <c r="B951" s="148"/>
      <c r="C951" s="148"/>
      <c r="D951" s="148"/>
      <c r="F951" s="148"/>
      <c r="G951" s="148"/>
      <c r="H951" s="148"/>
      <c r="I951" s="148"/>
      <c r="J951" s="148"/>
      <c r="L951" s="134"/>
    </row>
    <row r="952">
      <c r="A952" s="148"/>
      <c r="B952" s="148"/>
      <c r="C952" s="148"/>
      <c r="D952" s="148"/>
      <c r="F952" s="148"/>
      <c r="G952" s="148"/>
      <c r="H952" s="148"/>
      <c r="I952" s="148"/>
      <c r="J952" s="148"/>
      <c r="L952" s="134"/>
    </row>
    <row r="953">
      <c r="A953" s="148"/>
      <c r="B953" s="148"/>
      <c r="C953" s="148"/>
      <c r="D953" s="148"/>
      <c r="F953" s="148"/>
      <c r="G953" s="148"/>
      <c r="H953" s="148"/>
      <c r="I953" s="148"/>
      <c r="J953" s="148"/>
      <c r="L953" s="134"/>
    </row>
    <row r="954">
      <c r="A954" s="148"/>
      <c r="B954" s="148"/>
      <c r="C954" s="148"/>
      <c r="D954" s="148"/>
      <c r="F954" s="148"/>
      <c r="G954" s="148"/>
      <c r="H954" s="148"/>
      <c r="I954" s="148"/>
      <c r="J954" s="148"/>
      <c r="L954" s="134"/>
    </row>
    <row r="955">
      <c r="A955" s="148"/>
      <c r="B955" s="148"/>
      <c r="C955" s="148"/>
      <c r="D955" s="148"/>
      <c r="F955" s="148"/>
      <c r="G955" s="148"/>
      <c r="H955" s="148"/>
      <c r="I955" s="148"/>
      <c r="J955" s="148"/>
      <c r="L955" s="134"/>
    </row>
    <row r="956">
      <c r="A956" s="148"/>
      <c r="B956" s="148"/>
      <c r="C956" s="148"/>
      <c r="D956" s="148"/>
      <c r="F956" s="148"/>
      <c r="G956" s="148"/>
      <c r="H956" s="148"/>
      <c r="I956" s="148"/>
      <c r="J956" s="148"/>
      <c r="L956" s="134"/>
    </row>
    <row r="957">
      <c r="A957" s="148"/>
      <c r="B957" s="148"/>
      <c r="C957" s="148"/>
      <c r="D957" s="148"/>
      <c r="F957" s="148"/>
      <c r="G957" s="148"/>
      <c r="H957" s="148"/>
      <c r="I957" s="148"/>
      <c r="J957" s="148"/>
      <c r="L957" s="134"/>
    </row>
    <row r="958">
      <c r="A958" s="148"/>
      <c r="B958" s="148"/>
      <c r="C958" s="148"/>
      <c r="D958" s="148"/>
      <c r="F958" s="148"/>
      <c r="G958" s="148"/>
      <c r="H958" s="148"/>
      <c r="I958" s="148"/>
      <c r="J958" s="148"/>
      <c r="L958" s="134"/>
    </row>
    <row r="959">
      <c r="A959" s="148"/>
      <c r="B959" s="148"/>
      <c r="C959" s="148"/>
      <c r="D959" s="148"/>
      <c r="F959" s="148"/>
      <c r="G959" s="148"/>
      <c r="H959" s="148"/>
      <c r="I959" s="148"/>
      <c r="J959" s="148"/>
      <c r="L959" s="134"/>
    </row>
    <row r="960">
      <c r="A960" s="148"/>
      <c r="B960" s="148"/>
      <c r="C960" s="148"/>
      <c r="D960" s="148"/>
      <c r="F960" s="148"/>
      <c r="G960" s="148"/>
      <c r="H960" s="148"/>
      <c r="I960" s="148"/>
      <c r="J960" s="148"/>
      <c r="L960" s="134"/>
    </row>
    <row r="961">
      <c r="A961" s="148"/>
      <c r="B961" s="148"/>
      <c r="C961" s="148"/>
      <c r="D961" s="148"/>
      <c r="F961" s="148"/>
      <c r="G961" s="148"/>
      <c r="H961" s="148"/>
      <c r="I961" s="148"/>
      <c r="J961" s="148"/>
      <c r="L961" s="134"/>
    </row>
    <row r="962">
      <c r="A962" s="148"/>
      <c r="B962" s="148"/>
      <c r="C962" s="148"/>
      <c r="D962" s="148"/>
      <c r="F962" s="148"/>
      <c r="G962" s="148"/>
      <c r="H962" s="148"/>
      <c r="I962" s="148"/>
      <c r="J962" s="148"/>
      <c r="L962" s="134"/>
    </row>
    <row r="963">
      <c r="A963" s="148"/>
      <c r="B963" s="148"/>
      <c r="C963" s="148"/>
      <c r="D963" s="148"/>
      <c r="F963" s="148"/>
      <c r="G963" s="148"/>
      <c r="H963" s="148"/>
      <c r="I963" s="148"/>
      <c r="J963" s="148"/>
      <c r="L963" s="134"/>
    </row>
    <row r="964">
      <c r="A964" s="148"/>
      <c r="B964" s="148"/>
      <c r="C964" s="148"/>
      <c r="D964" s="148"/>
      <c r="F964" s="148"/>
      <c r="G964" s="148"/>
      <c r="H964" s="148"/>
      <c r="I964" s="148"/>
      <c r="J964" s="148"/>
      <c r="L964" s="134"/>
    </row>
    <row r="965">
      <c r="A965" s="148"/>
      <c r="B965" s="148"/>
      <c r="C965" s="148"/>
      <c r="D965" s="148"/>
      <c r="F965" s="148"/>
      <c r="G965" s="148"/>
      <c r="H965" s="148"/>
      <c r="I965" s="148"/>
      <c r="J965" s="148"/>
      <c r="L965" s="134"/>
    </row>
    <row r="966">
      <c r="A966" s="148"/>
      <c r="B966" s="148"/>
      <c r="C966" s="148"/>
      <c r="D966" s="148"/>
      <c r="F966" s="148"/>
      <c r="G966" s="148"/>
      <c r="H966" s="148"/>
      <c r="I966" s="148"/>
      <c r="J966" s="148"/>
      <c r="L966" s="134"/>
    </row>
    <row r="967">
      <c r="A967" s="148"/>
      <c r="B967" s="148"/>
      <c r="C967" s="148"/>
      <c r="D967" s="148"/>
      <c r="F967" s="148"/>
      <c r="G967" s="148"/>
      <c r="H967" s="148"/>
      <c r="I967" s="148"/>
      <c r="J967" s="148"/>
      <c r="L967" s="134"/>
    </row>
    <row r="968">
      <c r="A968" s="148"/>
      <c r="B968" s="148"/>
      <c r="C968" s="148"/>
      <c r="D968" s="148"/>
      <c r="F968" s="148"/>
      <c r="G968" s="148"/>
      <c r="H968" s="148"/>
      <c r="I968" s="148"/>
      <c r="J968" s="148"/>
      <c r="L968" s="134"/>
    </row>
    <row r="969">
      <c r="A969" s="148"/>
      <c r="B969" s="148"/>
      <c r="C969" s="148"/>
      <c r="D969" s="148"/>
      <c r="F969" s="148"/>
      <c r="G969" s="148"/>
      <c r="H969" s="148"/>
      <c r="I969" s="148"/>
      <c r="J969" s="148"/>
      <c r="L969" s="134"/>
    </row>
    <row r="970">
      <c r="A970" s="148"/>
      <c r="B970" s="148"/>
      <c r="C970" s="148"/>
      <c r="D970" s="148"/>
      <c r="F970" s="148"/>
      <c r="G970" s="148"/>
      <c r="H970" s="148"/>
      <c r="I970" s="148"/>
      <c r="J970" s="148"/>
      <c r="L970" s="134"/>
    </row>
    <row r="971">
      <c r="A971" s="148"/>
      <c r="B971" s="148"/>
      <c r="C971" s="148"/>
      <c r="D971" s="148"/>
      <c r="F971" s="148"/>
      <c r="G971" s="148"/>
      <c r="H971" s="148"/>
      <c r="I971" s="148"/>
      <c r="J971" s="148"/>
      <c r="L971" s="134"/>
    </row>
    <row r="972">
      <c r="A972" s="148"/>
      <c r="B972" s="148"/>
      <c r="C972" s="148"/>
      <c r="D972" s="148"/>
      <c r="F972" s="148"/>
      <c r="G972" s="148"/>
      <c r="H972" s="148"/>
      <c r="I972" s="148"/>
      <c r="J972" s="148"/>
      <c r="L972" s="134"/>
    </row>
    <row r="973">
      <c r="A973" s="148"/>
      <c r="B973" s="148"/>
      <c r="C973" s="148"/>
      <c r="D973" s="148"/>
      <c r="F973" s="148"/>
      <c r="G973" s="148"/>
      <c r="H973" s="148"/>
      <c r="I973" s="148"/>
      <c r="J973" s="148"/>
      <c r="L973" s="134"/>
    </row>
    <row r="974">
      <c r="A974" s="148"/>
      <c r="B974" s="148"/>
      <c r="C974" s="148"/>
      <c r="D974" s="148"/>
      <c r="F974" s="148"/>
      <c r="G974" s="148"/>
      <c r="H974" s="148"/>
      <c r="I974" s="148"/>
      <c r="J974" s="148"/>
      <c r="L974" s="134"/>
    </row>
    <row r="975">
      <c r="A975" s="148"/>
      <c r="B975" s="148"/>
      <c r="C975" s="148"/>
      <c r="D975" s="148"/>
      <c r="F975" s="148"/>
      <c r="G975" s="148"/>
      <c r="H975" s="148"/>
      <c r="I975" s="148"/>
      <c r="J975" s="148"/>
      <c r="L975" s="134"/>
    </row>
    <row r="976">
      <c r="A976" s="148"/>
      <c r="B976" s="148"/>
      <c r="C976" s="148"/>
      <c r="D976" s="148"/>
      <c r="F976" s="148"/>
      <c r="G976" s="148"/>
      <c r="H976" s="148"/>
      <c r="I976" s="148"/>
      <c r="J976" s="148"/>
      <c r="L976" s="134"/>
    </row>
    <row r="977">
      <c r="A977" s="148"/>
      <c r="B977" s="148"/>
      <c r="C977" s="148"/>
      <c r="D977" s="148"/>
      <c r="F977" s="148"/>
      <c r="G977" s="148"/>
      <c r="H977" s="148"/>
      <c r="I977" s="148"/>
      <c r="J977" s="148"/>
      <c r="L977" s="134"/>
    </row>
    <row r="978">
      <c r="A978" s="148"/>
      <c r="B978" s="148"/>
      <c r="C978" s="148"/>
      <c r="D978" s="148"/>
      <c r="F978" s="148"/>
      <c r="G978" s="148"/>
      <c r="H978" s="148"/>
      <c r="I978" s="148"/>
      <c r="J978" s="148"/>
      <c r="L978" s="134"/>
    </row>
    <row r="979">
      <c r="A979" s="148"/>
      <c r="B979" s="148"/>
      <c r="C979" s="148"/>
      <c r="D979" s="148"/>
      <c r="F979" s="148"/>
      <c r="G979" s="148"/>
      <c r="H979" s="148"/>
      <c r="I979" s="148"/>
      <c r="J979" s="148"/>
      <c r="L979" s="134"/>
    </row>
    <row r="980">
      <c r="A980" s="148"/>
      <c r="B980" s="148"/>
      <c r="C980" s="148"/>
      <c r="D980" s="148"/>
      <c r="F980" s="148"/>
      <c r="G980" s="148"/>
      <c r="H980" s="148"/>
      <c r="I980" s="148"/>
      <c r="J980" s="148"/>
      <c r="L980" s="134"/>
    </row>
    <row r="981">
      <c r="A981" s="148"/>
      <c r="B981" s="148"/>
      <c r="C981" s="148"/>
      <c r="D981" s="148"/>
      <c r="F981" s="148"/>
      <c r="G981" s="148"/>
      <c r="H981" s="148"/>
      <c r="I981" s="148"/>
      <c r="J981" s="148"/>
      <c r="L981" s="134"/>
    </row>
    <row r="982">
      <c r="A982" s="148"/>
      <c r="B982" s="148"/>
      <c r="C982" s="148"/>
      <c r="D982" s="148"/>
      <c r="F982" s="148"/>
      <c r="G982" s="148"/>
      <c r="H982" s="148"/>
      <c r="I982" s="148"/>
      <c r="J982" s="148"/>
      <c r="L982" s="134"/>
    </row>
    <row r="983">
      <c r="A983" s="148"/>
      <c r="B983" s="148"/>
      <c r="C983" s="148"/>
      <c r="D983" s="148"/>
      <c r="F983" s="148"/>
      <c r="G983" s="148"/>
      <c r="H983" s="148"/>
      <c r="I983" s="148"/>
      <c r="J983" s="148"/>
      <c r="L983" s="134"/>
    </row>
    <row r="984">
      <c r="A984" s="148"/>
      <c r="B984" s="148"/>
      <c r="C984" s="148"/>
      <c r="D984" s="148"/>
      <c r="F984" s="148"/>
      <c r="G984" s="148"/>
      <c r="H984" s="148"/>
      <c r="I984" s="148"/>
      <c r="J984" s="148"/>
      <c r="L984" s="134"/>
    </row>
    <row r="985">
      <c r="A985" s="148"/>
      <c r="B985" s="148"/>
      <c r="C985" s="148"/>
      <c r="D985" s="148"/>
      <c r="F985" s="148"/>
      <c r="G985" s="148"/>
      <c r="H985" s="148"/>
      <c r="I985" s="148"/>
      <c r="J985" s="148"/>
      <c r="L985" s="134"/>
    </row>
    <row r="986">
      <c r="A986" s="148"/>
      <c r="B986" s="148"/>
      <c r="C986" s="148"/>
      <c r="D986" s="148"/>
      <c r="F986" s="148"/>
      <c r="G986" s="148"/>
      <c r="H986" s="148"/>
      <c r="I986" s="148"/>
      <c r="J986" s="148"/>
      <c r="L986" s="134"/>
    </row>
    <row r="987">
      <c r="A987" s="148"/>
      <c r="B987" s="148"/>
      <c r="C987" s="148"/>
      <c r="D987" s="148"/>
      <c r="F987" s="148"/>
      <c r="G987" s="148"/>
      <c r="H987" s="148"/>
      <c r="I987" s="148"/>
      <c r="J987" s="148"/>
      <c r="L987" s="134"/>
    </row>
    <row r="988">
      <c r="A988" s="148"/>
      <c r="B988" s="148"/>
      <c r="C988" s="148"/>
      <c r="D988" s="148"/>
      <c r="F988" s="148"/>
      <c r="G988" s="148"/>
      <c r="H988" s="148"/>
      <c r="I988" s="148"/>
      <c r="J988" s="148"/>
      <c r="L988" s="134"/>
    </row>
    <row r="989">
      <c r="A989" s="148"/>
      <c r="B989" s="148"/>
      <c r="C989" s="148"/>
      <c r="D989" s="148"/>
      <c r="F989" s="148"/>
      <c r="G989" s="148"/>
      <c r="H989" s="148"/>
      <c r="I989" s="148"/>
      <c r="J989" s="148"/>
      <c r="L989" s="134"/>
    </row>
    <row r="990">
      <c r="A990" s="148"/>
      <c r="B990" s="148"/>
      <c r="C990" s="148"/>
      <c r="D990" s="148"/>
      <c r="F990" s="148"/>
      <c r="G990" s="148"/>
      <c r="H990" s="148"/>
      <c r="I990" s="148"/>
      <c r="J990" s="148"/>
      <c r="L990" s="134"/>
    </row>
    <row r="991">
      <c r="A991" s="148"/>
      <c r="B991" s="148"/>
      <c r="C991" s="148"/>
      <c r="D991" s="148"/>
      <c r="F991" s="148"/>
      <c r="G991" s="148"/>
      <c r="H991" s="148"/>
      <c r="I991" s="148"/>
      <c r="J991" s="148"/>
      <c r="L991" s="134"/>
    </row>
    <row r="992">
      <c r="A992" s="148"/>
      <c r="B992" s="148"/>
      <c r="C992" s="148"/>
      <c r="D992" s="148"/>
      <c r="F992" s="148"/>
      <c r="G992" s="148"/>
      <c r="H992" s="148"/>
      <c r="I992" s="148"/>
      <c r="J992" s="148"/>
      <c r="L992" s="134"/>
    </row>
    <row r="993">
      <c r="A993" s="148"/>
      <c r="B993" s="148"/>
      <c r="C993" s="148"/>
      <c r="D993" s="148"/>
      <c r="F993" s="148"/>
      <c r="G993" s="148"/>
      <c r="H993" s="148"/>
      <c r="I993" s="148"/>
      <c r="J993" s="148"/>
      <c r="L993" s="134"/>
    </row>
    <row r="994">
      <c r="A994" s="148"/>
      <c r="B994" s="148"/>
      <c r="C994" s="148"/>
      <c r="D994" s="148"/>
      <c r="F994" s="148"/>
      <c r="G994" s="148"/>
      <c r="H994" s="148"/>
      <c r="I994" s="148"/>
      <c r="J994" s="148"/>
      <c r="L994" s="134"/>
    </row>
    <row r="995">
      <c r="A995" s="148"/>
      <c r="B995" s="148"/>
      <c r="C995" s="148"/>
      <c r="D995" s="148"/>
      <c r="F995" s="148"/>
      <c r="G995" s="148"/>
      <c r="H995" s="148"/>
      <c r="I995" s="148"/>
      <c r="J995" s="148"/>
      <c r="L995" s="134"/>
    </row>
    <row r="996">
      <c r="A996" s="148"/>
      <c r="B996" s="148"/>
      <c r="C996" s="148"/>
      <c r="D996" s="148"/>
      <c r="F996" s="148"/>
      <c r="G996" s="148"/>
      <c r="H996" s="148"/>
      <c r="I996" s="148"/>
      <c r="J996" s="148"/>
      <c r="L996" s="134"/>
    </row>
    <row r="997">
      <c r="A997" s="148"/>
      <c r="B997" s="148"/>
      <c r="C997" s="148"/>
      <c r="D997" s="148"/>
      <c r="F997" s="148"/>
      <c r="G997" s="148"/>
      <c r="H997" s="148"/>
      <c r="I997" s="148"/>
      <c r="J997" s="148"/>
      <c r="L997" s="134"/>
    </row>
    <row r="998">
      <c r="A998" s="148"/>
      <c r="B998" s="148"/>
      <c r="C998" s="148"/>
      <c r="D998" s="148"/>
      <c r="F998" s="148"/>
      <c r="G998" s="148"/>
      <c r="H998" s="148"/>
      <c r="I998" s="148"/>
      <c r="J998" s="148"/>
      <c r="L998" s="13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10.13"/>
    <col customWidth="1" min="4" max="4" width="10.25"/>
  </cols>
  <sheetData>
    <row r="1">
      <c r="B1" s="127">
        <v>1396.755</v>
      </c>
    </row>
    <row r="2">
      <c r="A2" s="109" t="s">
        <v>126</v>
      </c>
      <c r="B2" s="109" t="s">
        <v>1</v>
      </c>
      <c r="C2" s="109" t="s">
        <v>127</v>
      </c>
      <c r="D2" s="109" t="s">
        <v>128</v>
      </c>
      <c r="E2" s="109" t="s">
        <v>129</v>
      </c>
      <c r="F2" s="109" t="s">
        <v>130</v>
      </c>
      <c r="G2" s="109" t="s">
        <v>131</v>
      </c>
      <c r="H2" s="109" t="s">
        <v>132</v>
      </c>
      <c r="I2" s="109" t="s">
        <v>133</v>
      </c>
      <c r="J2" s="109" t="s">
        <v>134</v>
      </c>
      <c r="K2" s="109" t="s">
        <v>135</v>
      </c>
      <c r="L2" s="109" t="s">
        <v>136</v>
      </c>
    </row>
    <row r="3">
      <c r="A3" s="127">
        <v>1.0</v>
      </c>
      <c r="B3" s="109" t="s">
        <v>37</v>
      </c>
      <c r="C3" s="128">
        <v>133.0</v>
      </c>
      <c r="D3" s="129">
        <v>60281.0</v>
      </c>
      <c r="E3" s="129">
        <v>8017400.0</v>
      </c>
      <c r="F3" s="65">
        <f>IFERROR(__xludf.DUMMYFUNCTION("GOOGLEFINANCE(""005930"", ""price"")"),271000.0)</f>
        <v>271000</v>
      </c>
      <c r="G3" s="65">
        <f t="shared" ref="G3:G47" si="1">F3*C3</f>
        <v>36043000</v>
      </c>
      <c r="H3" s="65">
        <f t="shared" ref="H3:H47" si="2">G3-E3</f>
        <v>28025600</v>
      </c>
      <c r="I3" s="130">
        <f t="shared" ref="I3:I47" si="3">IF(E3&gt;0, H3/E3, 0)</f>
        <v>3.495597076</v>
      </c>
      <c r="J3" s="131">
        <v>5740.02</v>
      </c>
      <c r="K3" s="132">
        <f t="shared" ref="K3:K4" si="4">G3/1396.755</f>
        <v>25804.81187</v>
      </c>
      <c r="L3" s="65">
        <f t="shared" ref="L3:L4" si="5">G3</f>
        <v>36043000</v>
      </c>
    </row>
    <row r="4">
      <c r="A4" s="127">
        <v>2.0</v>
      </c>
      <c r="B4" s="109" t="s">
        <v>39</v>
      </c>
      <c r="C4" s="128">
        <v>34.0</v>
      </c>
      <c r="D4" s="129">
        <v>52668.0</v>
      </c>
      <c r="E4" s="129">
        <v>1790697.0</v>
      </c>
      <c r="F4" s="65">
        <f>IFERROR(__xludf.DUMMYFUNCTION("GOOGLEFINANCE(""005935"", ""price"")"),185250.0)</f>
        <v>185250</v>
      </c>
      <c r="G4" s="65">
        <f t="shared" si="1"/>
        <v>6298500</v>
      </c>
      <c r="H4" s="65">
        <f t="shared" si="2"/>
        <v>4507803</v>
      </c>
      <c r="I4" s="130">
        <f t="shared" si="3"/>
        <v>2.517345481</v>
      </c>
      <c r="J4" s="131">
        <v>1282.04</v>
      </c>
      <c r="K4" s="132">
        <f t="shared" si="4"/>
        <v>4509.380672</v>
      </c>
      <c r="L4" s="65">
        <f t="shared" si="5"/>
        <v>6298500</v>
      </c>
    </row>
    <row r="5">
      <c r="A5" s="162">
        <v>3.0</v>
      </c>
      <c r="B5" s="163" t="s">
        <v>186</v>
      </c>
      <c r="C5" s="164">
        <v>110.397405</v>
      </c>
      <c r="D5" s="165">
        <v>51.51</v>
      </c>
      <c r="E5" s="165">
        <v>5686.85</v>
      </c>
      <c r="F5" s="166">
        <f>IFERROR(__xludf.DUMMYFUNCTION("GOOGLEFINANCE(""KO"", ""price"")"),79.23)</f>
        <v>79.23</v>
      </c>
      <c r="G5" s="166">
        <f t="shared" si="1"/>
        <v>8746.786398</v>
      </c>
      <c r="H5" s="166">
        <f t="shared" si="2"/>
        <v>3059.936398</v>
      </c>
      <c r="I5" s="167">
        <f t="shared" si="3"/>
        <v>0.5380722893</v>
      </c>
      <c r="J5" s="168">
        <v>5686.85</v>
      </c>
      <c r="K5" s="168">
        <v>7333.7</v>
      </c>
      <c r="L5" s="169">
        <f>K5*1396.755</f>
        <v>10243382.14</v>
      </c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</row>
    <row r="6">
      <c r="A6" s="127">
        <v>4.0</v>
      </c>
      <c r="B6" s="109" t="s">
        <v>208</v>
      </c>
      <c r="C6" s="128">
        <v>93.0</v>
      </c>
      <c r="D6" s="129">
        <v>67593.0</v>
      </c>
      <c r="E6" s="129">
        <v>6286120.0</v>
      </c>
      <c r="F6" s="65">
        <f>IFERROR(__xludf.DUMMYFUNCTION("GOOGLEFINANCE(""133690"", ""price"")"),184065.0)</f>
        <v>184065</v>
      </c>
      <c r="G6" s="65">
        <f t="shared" si="1"/>
        <v>17118045</v>
      </c>
      <c r="H6" s="65">
        <f t="shared" si="2"/>
        <v>10831925</v>
      </c>
      <c r="I6" s="130">
        <f t="shared" si="3"/>
        <v>1.723149574</v>
      </c>
      <c r="J6" s="131">
        <v>4500.52</v>
      </c>
      <c r="K6" s="132">
        <f>G6/1396.755</f>
        <v>12255.58169</v>
      </c>
      <c r="L6" s="65">
        <f>G6</f>
        <v>17118045</v>
      </c>
    </row>
    <row r="7">
      <c r="A7" s="127">
        <v>5.0</v>
      </c>
      <c r="B7" s="109" t="s">
        <v>71</v>
      </c>
      <c r="C7" s="128">
        <v>31.0</v>
      </c>
      <c r="D7" s="133">
        <v>95.3</v>
      </c>
      <c r="E7" s="133">
        <v>2954.44</v>
      </c>
      <c r="F7" s="132">
        <f>IFERROR(__xludf.DUMMYFUNCTION("GOOGLEFINANCE(""VYM"", ""price"")"),156.95)</f>
        <v>156.95</v>
      </c>
      <c r="G7" s="132">
        <f t="shared" si="1"/>
        <v>4865.45</v>
      </c>
      <c r="H7" s="132">
        <f t="shared" si="2"/>
        <v>1911.01</v>
      </c>
      <c r="I7" s="130">
        <f t="shared" si="3"/>
        <v>0.6468264713</v>
      </c>
      <c r="J7" s="131">
        <v>2954.44</v>
      </c>
      <c r="K7" s="131">
        <v>4354.26</v>
      </c>
      <c r="L7" s="65">
        <f>K7*1396.755</f>
        <v>6081834.426</v>
      </c>
    </row>
    <row r="8">
      <c r="A8" s="127">
        <v>6.0</v>
      </c>
      <c r="B8" s="109" t="s">
        <v>209</v>
      </c>
      <c r="C8" s="128">
        <v>159.0</v>
      </c>
      <c r="D8" s="129">
        <v>16504.0</v>
      </c>
      <c r="E8" s="129">
        <v>2624070.0</v>
      </c>
      <c r="F8" s="65">
        <f>IFERROR(__xludf.DUMMYFUNCTION("GOOGLEFINANCE(""245340"", ""price"")"),35255.0)</f>
        <v>35255</v>
      </c>
      <c r="G8" s="65">
        <f t="shared" si="1"/>
        <v>5605545</v>
      </c>
      <c r="H8" s="65">
        <f t="shared" si="2"/>
        <v>2981475</v>
      </c>
      <c r="I8" s="130">
        <f t="shared" si="3"/>
        <v>1.13620254</v>
      </c>
      <c r="J8" s="131">
        <v>1878.69</v>
      </c>
      <c r="K8" s="132">
        <f>G8/1396.755</f>
        <v>4013.262884</v>
      </c>
      <c r="L8" s="65">
        <f>G8</f>
        <v>5605545</v>
      </c>
    </row>
    <row r="9">
      <c r="A9" s="127">
        <v>7.0</v>
      </c>
      <c r="B9" s="109" t="s">
        <v>79</v>
      </c>
      <c r="C9" s="128">
        <v>23.637130000000003</v>
      </c>
      <c r="D9" s="133">
        <v>143.97</v>
      </c>
      <c r="E9" s="133">
        <v>3403.14</v>
      </c>
      <c r="F9" s="132">
        <f>IFERROR(__xludf.DUMMYFUNCTION("GOOGLEFINANCE(""AAPL"", ""price"")"),287.51)</f>
        <v>287.51</v>
      </c>
      <c r="G9" s="132">
        <f t="shared" si="1"/>
        <v>6795.911246</v>
      </c>
      <c r="H9" s="132">
        <f t="shared" si="2"/>
        <v>3392.771246</v>
      </c>
      <c r="I9" s="130">
        <f t="shared" si="3"/>
        <v>0.9969531804</v>
      </c>
      <c r="J9" s="131">
        <v>3403.14</v>
      </c>
      <c r="K9" s="131">
        <v>5802.92</v>
      </c>
      <c r="L9" s="65">
        <f>K9*1396.755</f>
        <v>8105257.525</v>
      </c>
    </row>
    <row r="10">
      <c r="A10" s="127">
        <v>8.0</v>
      </c>
      <c r="B10" s="109" t="s">
        <v>81</v>
      </c>
      <c r="C10" s="128">
        <v>98.0</v>
      </c>
      <c r="D10" s="129">
        <v>17921.0</v>
      </c>
      <c r="E10" s="129">
        <v>1756305.0</v>
      </c>
      <c r="F10" s="65">
        <f>IFERROR(__xludf.DUMMYFUNCTION("GOOGLEFINANCE(""157490"", ""price"")"),9080.0)</f>
        <v>9080</v>
      </c>
      <c r="G10" s="65">
        <f t="shared" si="1"/>
        <v>889840</v>
      </c>
      <c r="H10" s="65">
        <f t="shared" si="2"/>
        <v>-866465</v>
      </c>
      <c r="I10" s="130">
        <f t="shared" si="3"/>
        <v>-0.4933454041</v>
      </c>
      <c r="J10" s="131">
        <v>1257.42</v>
      </c>
      <c r="K10" s="132">
        <f t="shared" ref="K10:K11" si="6">G10/1396.755</f>
        <v>637.0766527</v>
      </c>
      <c r="L10" s="65">
        <f t="shared" ref="L10:L11" si="7">G10</f>
        <v>889840</v>
      </c>
    </row>
    <row r="11">
      <c r="A11" s="127">
        <v>9.0</v>
      </c>
      <c r="B11" s="109" t="s">
        <v>90</v>
      </c>
      <c r="C11" s="128">
        <v>3.0</v>
      </c>
      <c r="D11" s="129">
        <v>177500.0</v>
      </c>
      <c r="E11" s="129">
        <v>532500.0</v>
      </c>
      <c r="F11" s="65">
        <f>IFERROR(__xludf.DUMMYFUNCTION("GOOGLEFINANCE(""139480"", ""price"")"),108100.0)</f>
        <v>108100</v>
      </c>
      <c r="G11" s="65">
        <f t="shared" si="1"/>
        <v>324300</v>
      </c>
      <c r="H11" s="65">
        <f t="shared" si="2"/>
        <v>-208200</v>
      </c>
      <c r="I11" s="130">
        <f t="shared" si="3"/>
        <v>-0.3909859155</v>
      </c>
      <c r="J11" s="131">
        <v>381.24</v>
      </c>
      <c r="K11" s="132">
        <f t="shared" si="6"/>
        <v>232.1810196</v>
      </c>
      <c r="L11" s="65">
        <f t="shared" si="7"/>
        <v>324300</v>
      </c>
    </row>
    <row r="12">
      <c r="A12" s="127">
        <v>10.0</v>
      </c>
      <c r="B12" s="109" t="s">
        <v>199</v>
      </c>
      <c r="C12" s="128">
        <v>83.032213</v>
      </c>
      <c r="D12" s="133">
        <v>38.17</v>
      </c>
      <c r="E12" s="133">
        <v>3169.23</v>
      </c>
      <c r="F12" s="132">
        <f>IFERROR(__xludf.DUMMYFUNCTION("GOOGLEFINANCE(""PFE"", ""price"")"),26.53)</f>
        <v>26.53</v>
      </c>
      <c r="G12" s="132">
        <f t="shared" si="1"/>
        <v>2202.844611</v>
      </c>
      <c r="H12" s="132">
        <f t="shared" si="2"/>
        <v>-966.3853891</v>
      </c>
      <c r="I12" s="130">
        <f t="shared" si="3"/>
        <v>-0.3049275026</v>
      </c>
      <c r="J12" s="131">
        <v>3169.23</v>
      </c>
      <c r="K12" s="131">
        <v>1995.26</v>
      </c>
      <c r="L12" s="65">
        <f t="shared" ref="L12:L14" si="8">K12*1396.755</f>
        <v>2786889.381</v>
      </c>
    </row>
    <row r="13">
      <c r="A13" s="127">
        <v>11.0</v>
      </c>
      <c r="B13" s="109" t="s">
        <v>11</v>
      </c>
      <c r="C13" s="128">
        <v>46.568707</v>
      </c>
      <c r="D13" s="133">
        <v>173.45</v>
      </c>
      <c r="E13" s="133">
        <v>8077.42</v>
      </c>
      <c r="F13" s="132">
        <f>IFERROR(__xludf.DUMMYFUNCTION("GOOGLEFINANCE(""SMH"", ""price"")"),549.76)</f>
        <v>549.76</v>
      </c>
      <c r="G13" s="132">
        <f t="shared" si="1"/>
        <v>25601.61236</v>
      </c>
      <c r="H13" s="132">
        <f t="shared" si="2"/>
        <v>17524.19236</v>
      </c>
      <c r="I13" s="130">
        <f t="shared" si="3"/>
        <v>2.169528434</v>
      </c>
      <c r="J13" s="131">
        <v>8077.42</v>
      </c>
      <c r="K13" s="131">
        <v>14702.21</v>
      </c>
      <c r="L13" s="65">
        <f t="shared" si="8"/>
        <v>20535385.33</v>
      </c>
    </row>
    <row r="14">
      <c r="A14" s="127">
        <v>12.0</v>
      </c>
      <c r="B14" s="109" t="s">
        <v>210</v>
      </c>
      <c r="C14" s="128">
        <v>2.0</v>
      </c>
      <c r="D14" s="133">
        <v>132.77</v>
      </c>
      <c r="E14" s="133">
        <v>265.54</v>
      </c>
      <c r="F14" s="132">
        <f>IFERROR(__xludf.DUMMYFUNCTION("GOOGLEFINANCE(""NKE"", ""price"")"),43.88)</f>
        <v>43.88</v>
      </c>
      <c r="G14" s="132">
        <f t="shared" si="1"/>
        <v>87.76</v>
      </c>
      <c r="H14" s="132">
        <f t="shared" si="2"/>
        <v>-177.78</v>
      </c>
      <c r="I14" s="130">
        <f t="shared" si="3"/>
        <v>-0.6695036529</v>
      </c>
      <c r="J14" s="131">
        <v>265.54</v>
      </c>
      <c r="K14" s="131">
        <v>141.78</v>
      </c>
      <c r="L14" s="65">
        <f t="shared" si="8"/>
        <v>198031.9239</v>
      </c>
    </row>
    <row r="15">
      <c r="A15" s="127">
        <v>13.0</v>
      </c>
      <c r="B15" s="109" t="s">
        <v>177</v>
      </c>
      <c r="C15" s="128">
        <v>5.0</v>
      </c>
      <c r="D15" s="129">
        <v>239200.0</v>
      </c>
      <c r="E15" s="129">
        <v>1196000.0</v>
      </c>
      <c r="F15" s="65">
        <f>IFERROR(__xludf.DUMMYFUNCTION("GOOGLEFINANCE(""034730"", ""price"")"),544000.0)</f>
        <v>544000</v>
      </c>
      <c r="G15" s="65">
        <f t="shared" si="1"/>
        <v>2720000</v>
      </c>
      <c r="H15" s="65">
        <f t="shared" si="2"/>
        <v>1524000</v>
      </c>
      <c r="I15" s="130">
        <f t="shared" si="3"/>
        <v>1.274247492</v>
      </c>
      <c r="J15" s="131">
        <v>856.27</v>
      </c>
      <c r="K15" s="132">
        <f t="shared" ref="K15:K16" si="9">G15/1396.755</f>
        <v>1947.37087</v>
      </c>
      <c r="L15" s="65">
        <f t="shared" ref="L15:L16" si="10">G15</f>
        <v>2720000</v>
      </c>
    </row>
    <row r="16">
      <c r="A16" s="162">
        <v>14.0</v>
      </c>
      <c r="B16" s="163" t="s">
        <v>32</v>
      </c>
      <c r="C16" s="164">
        <v>233.0</v>
      </c>
      <c r="D16" s="171">
        <v>12663.0</v>
      </c>
      <c r="E16" s="171">
        <v>2950370.0</v>
      </c>
      <c r="F16" s="169">
        <f>IFERROR(__xludf.DUMMYFUNCTION("GOOGLEFINANCE(""379800"", ""price"")"),24205.0)</f>
        <v>24205</v>
      </c>
      <c r="G16" s="169">
        <f t="shared" si="1"/>
        <v>5639765</v>
      </c>
      <c r="H16" s="169">
        <f t="shared" si="2"/>
        <v>2689395</v>
      </c>
      <c r="I16" s="167">
        <f t="shared" si="3"/>
        <v>0.9115449927</v>
      </c>
      <c r="J16" s="168">
        <v>2112.3</v>
      </c>
      <c r="K16" s="166">
        <f t="shared" si="9"/>
        <v>4037.762528</v>
      </c>
      <c r="L16" s="169">
        <f t="shared" si="10"/>
        <v>5639765</v>
      </c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>
      <c r="A17" s="127">
        <v>15.0</v>
      </c>
      <c r="B17" s="109" t="s">
        <v>203</v>
      </c>
      <c r="C17" s="128">
        <v>7.0</v>
      </c>
      <c r="D17" s="133">
        <v>445.47</v>
      </c>
      <c r="E17" s="133">
        <v>3118.28</v>
      </c>
      <c r="F17" s="132">
        <f>IFERROR(__xludf.DUMMYFUNCTION("GOOGLEFINANCE(""SPY"", ""price"")"),733.83)</f>
        <v>733.83</v>
      </c>
      <c r="G17" s="132">
        <f t="shared" si="1"/>
        <v>5136.81</v>
      </c>
      <c r="H17" s="132">
        <f t="shared" si="2"/>
        <v>2018.53</v>
      </c>
      <c r="I17" s="130">
        <f t="shared" si="3"/>
        <v>0.6473216004</v>
      </c>
      <c r="J17" s="131">
        <v>3118.28</v>
      </c>
      <c r="K17" s="131">
        <v>4645.9</v>
      </c>
      <c r="L17" s="65">
        <f t="shared" ref="L17:L25" si="11">K17*1396.755</f>
        <v>6489184.055</v>
      </c>
    </row>
    <row r="18">
      <c r="A18" s="127">
        <v>16.0</v>
      </c>
      <c r="B18" s="109" t="s">
        <v>200</v>
      </c>
      <c r="C18" s="128">
        <v>13.937922</v>
      </c>
      <c r="D18" s="133">
        <v>344.73</v>
      </c>
      <c r="E18" s="133">
        <v>4804.81</v>
      </c>
      <c r="F18" s="132">
        <f>IFERROR(__xludf.DUMMYFUNCTION("GOOGLEFINANCE(""MSFT"", ""price"")"),413.96)</f>
        <v>413.96</v>
      </c>
      <c r="G18" s="132">
        <f t="shared" si="1"/>
        <v>5769.742191</v>
      </c>
      <c r="H18" s="132">
        <f t="shared" si="2"/>
        <v>964.9321911</v>
      </c>
      <c r="I18" s="130">
        <f t="shared" si="3"/>
        <v>0.2008262951</v>
      </c>
      <c r="J18" s="131">
        <v>4804.81</v>
      </c>
      <c r="K18" s="131">
        <v>7218.87</v>
      </c>
      <c r="L18" s="65">
        <f t="shared" si="11"/>
        <v>10082992.77</v>
      </c>
    </row>
    <row r="19">
      <c r="A19" s="127">
        <v>17.0</v>
      </c>
      <c r="B19" s="109" t="s">
        <v>211</v>
      </c>
      <c r="C19" s="128">
        <v>1.188598</v>
      </c>
      <c r="D19" s="133">
        <v>345.98</v>
      </c>
      <c r="E19" s="133">
        <v>411.24</v>
      </c>
      <c r="F19" s="132">
        <f>IFERROR(__xludf.DUMMYFUNCTION("GOOGLEFINANCE(""BRK.B"", ""price"")"),469.83)</f>
        <v>469.83</v>
      </c>
      <c r="G19" s="132">
        <f t="shared" si="1"/>
        <v>558.4389983</v>
      </c>
      <c r="H19" s="132">
        <f t="shared" si="2"/>
        <v>147.1989983</v>
      </c>
      <c r="I19" s="130">
        <f t="shared" si="3"/>
        <v>0.3579393987</v>
      </c>
      <c r="J19" s="131">
        <v>411.24</v>
      </c>
      <c r="K19" s="131">
        <v>585.8</v>
      </c>
      <c r="L19" s="65">
        <f t="shared" si="11"/>
        <v>818219.079</v>
      </c>
    </row>
    <row r="20">
      <c r="A20" s="127">
        <v>18.0</v>
      </c>
      <c r="B20" s="109" t="s">
        <v>212</v>
      </c>
      <c r="C20" s="128">
        <v>3.0</v>
      </c>
      <c r="D20" s="133">
        <v>150.75</v>
      </c>
      <c r="E20" s="133">
        <v>452.26</v>
      </c>
      <c r="F20" s="132">
        <f>IFERROR(__xludf.DUMMYFUNCTION("GOOGLEFINANCE(""SOXX"", ""price"")"),506.87)</f>
        <v>506.87</v>
      </c>
      <c r="G20" s="132">
        <f t="shared" si="1"/>
        <v>1520.61</v>
      </c>
      <c r="H20" s="132">
        <f t="shared" si="2"/>
        <v>1068.35</v>
      </c>
      <c r="I20" s="130">
        <f t="shared" si="3"/>
        <v>2.36224738</v>
      </c>
      <c r="J20" s="131">
        <v>452.26</v>
      </c>
      <c r="K20" s="131">
        <v>797.58</v>
      </c>
      <c r="L20" s="65">
        <f t="shared" si="11"/>
        <v>1114023.853</v>
      </c>
    </row>
    <row r="21">
      <c r="A21" s="127">
        <v>19.0</v>
      </c>
      <c r="B21" s="109" t="s">
        <v>197</v>
      </c>
      <c r="C21" s="128">
        <v>0.22056</v>
      </c>
      <c r="D21" s="133">
        <v>127.48</v>
      </c>
      <c r="E21" s="133">
        <v>28.12</v>
      </c>
      <c r="F21" s="132">
        <f>IFERROR(__xludf.DUMMYFUNCTION("GOOGLEFINANCE(""GOOGL"", ""price"")"),398.04)</f>
        <v>398.04</v>
      </c>
      <c r="G21" s="132">
        <f t="shared" si="1"/>
        <v>87.7917024</v>
      </c>
      <c r="H21" s="132">
        <f t="shared" si="2"/>
        <v>59.6717024</v>
      </c>
      <c r="I21" s="130">
        <f t="shared" si="3"/>
        <v>2.122037781</v>
      </c>
      <c r="J21" s="131">
        <v>28.12</v>
      </c>
      <c r="K21" s="131">
        <v>56.18</v>
      </c>
      <c r="L21" s="65">
        <f t="shared" si="11"/>
        <v>78469.6959</v>
      </c>
    </row>
    <row r="22">
      <c r="A22" s="127">
        <v>20.0</v>
      </c>
      <c r="B22" s="109" t="s">
        <v>213</v>
      </c>
      <c r="C22" s="128">
        <v>0.4641</v>
      </c>
      <c r="D22" s="133">
        <v>149.44</v>
      </c>
      <c r="E22" s="133">
        <v>69.36</v>
      </c>
      <c r="F22" s="132">
        <f>IFERROR(__xludf.DUMMYFUNCTION("GOOGLEFINANCE(""AMZN"", ""price"")"),274.99)</f>
        <v>274.99</v>
      </c>
      <c r="G22" s="132">
        <f t="shared" si="1"/>
        <v>127.622859</v>
      </c>
      <c r="H22" s="132">
        <f t="shared" si="2"/>
        <v>58.262859</v>
      </c>
      <c r="I22" s="130">
        <f t="shared" si="3"/>
        <v>0.8400066176</v>
      </c>
      <c r="J22" s="131">
        <v>69.36</v>
      </c>
      <c r="K22" s="131">
        <v>107.43</v>
      </c>
      <c r="L22" s="65">
        <f t="shared" si="11"/>
        <v>150053.3897</v>
      </c>
    </row>
    <row r="23">
      <c r="A23" s="127">
        <v>21.0</v>
      </c>
      <c r="B23" s="109" t="s">
        <v>214</v>
      </c>
      <c r="C23" s="128">
        <v>0.45859500000000003</v>
      </c>
      <c r="D23" s="133">
        <v>507.6</v>
      </c>
      <c r="E23" s="133">
        <v>232.78</v>
      </c>
      <c r="F23" s="132">
        <f>IFERROR(__xludf.DUMMYFUNCTION("GOOGLEFINANCE(""TSLA"", ""price"")"),398.73)</f>
        <v>398.73</v>
      </c>
      <c r="G23" s="132">
        <f t="shared" si="1"/>
        <v>182.8555844</v>
      </c>
      <c r="H23" s="132">
        <f t="shared" si="2"/>
        <v>-49.92441565</v>
      </c>
      <c r="I23" s="130">
        <f t="shared" si="3"/>
        <v>-0.2144703826</v>
      </c>
      <c r="J23" s="131">
        <v>232.78</v>
      </c>
      <c r="K23" s="131">
        <v>195.39</v>
      </c>
      <c r="L23" s="65">
        <f t="shared" si="11"/>
        <v>272911.9595</v>
      </c>
    </row>
    <row r="24">
      <c r="A24" s="127">
        <v>22.0</v>
      </c>
      <c r="B24" s="109" t="s">
        <v>204</v>
      </c>
      <c r="C24" s="128">
        <v>1.02</v>
      </c>
      <c r="D24" s="133">
        <v>631.83</v>
      </c>
      <c r="E24" s="133">
        <v>644.47</v>
      </c>
      <c r="F24" s="132">
        <f>IFERROR(__xludf.DUMMYFUNCTION("GOOGLEFINANCE(""ASML"", ""price"")"),1544.74)</f>
        <v>1544.74</v>
      </c>
      <c r="G24" s="132">
        <f t="shared" si="1"/>
        <v>1575.6348</v>
      </c>
      <c r="H24" s="132">
        <f t="shared" si="2"/>
        <v>931.1648</v>
      </c>
      <c r="I24" s="130">
        <f t="shared" si="3"/>
        <v>1.444853601</v>
      </c>
      <c r="J24" s="131">
        <v>644.47</v>
      </c>
      <c r="K24" s="131">
        <v>950.79</v>
      </c>
      <c r="L24" s="65">
        <f t="shared" si="11"/>
        <v>1328020.686</v>
      </c>
    </row>
    <row r="25">
      <c r="A25" s="127">
        <v>23.0</v>
      </c>
      <c r="B25" s="109" t="s">
        <v>215</v>
      </c>
      <c r="C25" s="128">
        <v>3.0</v>
      </c>
      <c r="D25" s="133">
        <v>403.66</v>
      </c>
      <c r="E25" s="133">
        <v>1210.98</v>
      </c>
      <c r="F25" s="132">
        <f>IFERROR(__xludf.DUMMYFUNCTION("GOOGLEFINANCE(""IVV"", ""price"")"),737.41)</f>
        <v>737.41</v>
      </c>
      <c r="G25" s="132">
        <f t="shared" si="1"/>
        <v>2212.23</v>
      </c>
      <c r="H25" s="132">
        <f t="shared" si="2"/>
        <v>1001.25</v>
      </c>
      <c r="I25" s="130">
        <f t="shared" si="3"/>
        <v>0.8268096913</v>
      </c>
      <c r="J25" s="131">
        <v>1210.98</v>
      </c>
      <c r="K25" s="131">
        <v>2000.61</v>
      </c>
      <c r="L25" s="65">
        <f t="shared" si="11"/>
        <v>2794362.021</v>
      </c>
    </row>
    <row r="26">
      <c r="A26" s="162">
        <v>24.0</v>
      </c>
      <c r="B26" s="163" t="s">
        <v>17</v>
      </c>
      <c r="C26" s="164">
        <v>272.0</v>
      </c>
      <c r="D26" s="171">
        <v>17815.0</v>
      </c>
      <c r="E26" s="171">
        <v>4845620.0</v>
      </c>
      <c r="F26" s="169">
        <f>IFERROR(__xludf.DUMMYFUNCTION("GOOGLEFINANCE(""360750"", ""price"")"),26545.0)</f>
        <v>26545</v>
      </c>
      <c r="G26" s="169">
        <f t="shared" si="1"/>
        <v>7220240</v>
      </c>
      <c r="H26" s="169">
        <f t="shared" si="2"/>
        <v>2374620</v>
      </c>
      <c r="I26" s="167">
        <f t="shared" si="3"/>
        <v>0.4900549362</v>
      </c>
      <c r="J26" s="168">
        <v>3469.2</v>
      </c>
      <c r="K26" s="166">
        <f t="shared" ref="K26:K27" si="12">G26/1396.755</f>
        <v>5169.295975</v>
      </c>
      <c r="L26" s="169">
        <f t="shared" ref="L26:L27" si="13">G26</f>
        <v>7220240</v>
      </c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>
      <c r="A27" s="162">
        <v>25.0</v>
      </c>
      <c r="B27" s="163" t="s">
        <v>6</v>
      </c>
      <c r="C27" s="164">
        <v>317.0</v>
      </c>
      <c r="D27" s="171">
        <v>15668.0</v>
      </c>
      <c r="E27" s="171">
        <v>4966840.0</v>
      </c>
      <c r="F27" s="169">
        <f>IFERROR(__xludf.DUMMYFUNCTION("GOOGLEFINANCE(""381180"", ""price"")"),43465.0)</f>
        <v>43465</v>
      </c>
      <c r="G27" s="169">
        <f t="shared" si="1"/>
        <v>13778405</v>
      </c>
      <c r="H27" s="169">
        <f t="shared" si="2"/>
        <v>8811565</v>
      </c>
      <c r="I27" s="167">
        <f t="shared" si="3"/>
        <v>1.77407869</v>
      </c>
      <c r="J27" s="168">
        <v>3555.99</v>
      </c>
      <c r="K27" s="166">
        <f t="shared" si="12"/>
        <v>9864.58255</v>
      </c>
      <c r="L27" s="169">
        <f t="shared" si="13"/>
        <v>13778405</v>
      </c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>
      <c r="A28" s="127">
        <v>26.0</v>
      </c>
      <c r="B28" s="109" t="s">
        <v>198</v>
      </c>
      <c r="C28" s="128">
        <v>67.66620999999999</v>
      </c>
      <c r="D28" s="133">
        <v>57.0</v>
      </c>
      <c r="E28" s="133">
        <v>3857.16</v>
      </c>
      <c r="F28" s="132">
        <f>IFERROR(__xludf.DUMMYFUNCTION("GOOGLEFINANCE(""O"", ""price"")"),64.01)</f>
        <v>64.01</v>
      </c>
      <c r="G28" s="132">
        <f t="shared" si="1"/>
        <v>4331.314102</v>
      </c>
      <c r="H28" s="132">
        <f t="shared" si="2"/>
        <v>474.1541021</v>
      </c>
      <c r="I28" s="130">
        <f t="shared" si="3"/>
        <v>0.1229282949</v>
      </c>
      <c r="J28" s="131">
        <v>3857.16</v>
      </c>
      <c r="K28" s="131">
        <v>4003.13</v>
      </c>
      <c r="L28" s="65">
        <f>K28*1396.755</f>
        <v>5591391.843</v>
      </c>
    </row>
    <row r="29">
      <c r="A29" s="127">
        <v>27.0</v>
      </c>
      <c r="B29" s="109" t="s">
        <v>29</v>
      </c>
      <c r="C29" s="128">
        <v>170.0</v>
      </c>
      <c r="D29" s="129">
        <v>12335.0</v>
      </c>
      <c r="E29" s="129">
        <v>2096865.0</v>
      </c>
      <c r="F29" s="65">
        <f>IFERROR(__xludf.DUMMYFUNCTION("GOOGLEFINANCE(""305080"", ""price"")"),13150.0)</f>
        <v>13150</v>
      </c>
      <c r="G29" s="65">
        <f t="shared" si="1"/>
        <v>2235500</v>
      </c>
      <c r="H29" s="65">
        <f t="shared" si="2"/>
        <v>138635</v>
      </c>
      <c r="I29" s="130">
        <f t="shared" si="3"/>
        <v>0.06611536747</v>
      </c>
      <c r="J29" s="131">
        <v>1501.24</v>
      </c>
      <c r="K29" s="132">
        <f t="shared" ref="K29:K30" si="14">G29/1396.755</f>
        <v>1600.495434</v>
      </c>
      <c r="L29" s="65">
        <f t="shared" ref="L29:L30" si="15">G29</f>
        <v>2235500</v>
      </c>
    </row>
    <row r="30">
      <c r="A30" s="162">
        <v>28.0</v>
      </c>
      <c r="B30" s="163" t="s">
        <v>34</v>
      </c>
      <c r="C30" s="164">
        <v>56.0</v>
      </c>
      <c r="D30" s="171">
        <v>13816.0</v>
      </c>
      <c r="E30" s="171">
        <v>773695.0</v>
      </c>
      <c r="F30" s="169">
        <f>IFERROR(__xludf.DUMMYFUNCTION("GOOGLEFINANCE(""278530"", ""price"")"),41750.0)</f>
        <v>41750</v>
      </c>
      <c r="G30" s="169">
        <f t="shared" si="1"/>
        <v>2338000</v>
      </c>
      <c r="H30" s="169">
        <f t="shared" si="2"/>
        <v>1564305</v>
      </c>
      <c r="I30" s="167">
        <f t="shared" si="3"/>
        <v>2.02186262</v>
      </c>
      <c r="J30" s="168">
        <v>553.92</v>
      </c>
      <c r="K30" s="166">
        <f t="shared" si="14"/>
        <v>1673.879814</v>
      </c>
      <c r="L30" s="169">
        <f t="shared" si="15"/>
        <v>2338000</v>
      </c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>
      <c r="A31" s="127">
        <v>29.0</v>
      </c>
      <c r="B31" s="109" t="s">
        <v>69</v>
      </c>
      <c r="C31" s="128">
        <v>5.0</v>
      </c>
      <c r="D31" s="133">
        <v>82.06</v>
      </c>
      <c r="E31" s="133">
        <v>410.3</v>
      </c>
      <c r="F31" s="132">
        <f>IFERROR(__xludf.DUMMYFUNCTION("GOOGLEFINANCE(""TSM"", ""price"")"),419.5)</f>
        <v>419.5</v>
      </c>
      <c r="G31" s="132">
        <f t="shared" si="1"/>
        <v>2097.5</v>
      </c>
      <c r="H31" s="132">
        <f t="shared" si="2"/>
        <v>1687.2</v>
      </c>
      <c r="I31" s="130">
        <f t="shared" si="3"/>
        <v>4.112113088</v>
      </c>
      <c r="J31" s="131">
        <v>410.3</v>
      </c>
      <c r="K31" s="131">
        <v>1324.35</v>
      </c>
      <c r="L31" s="65">
        <f t="shared" ref="L31:L32" si="16">K31*1396.755</f>
        <v>1849792.484</v>
      </c>
    </row>
    <row r="32">
      <c r="A32" s="127">
        <v>30.0</v>
      </c>
      <c r="B32" s="109" t="s">
        <v>216</v>
      </c>
      <c r="C32" s="128">
        <v>8.0</v>
      </c>
      <c r="D32" s="133">
        <v>44.55</v>
      </c>
      <c r="E32" s="133">
        <v>356.4</v>
      </c>
      <c r="F32" s="132">
        <f>IFERROR(__xludf.DUMMYFUNCTION("GOOGLEFINANCE(""C"", ""price"")"),127.6)</f>
        <v>127.6</v>
      </c>
      <c r="G32" s="132">
        <f t="shared" si="1"/>
        <v>1020.8</v>
      </c>
      <c r="H32" s="132">
        <f t="shared" si="2"/>
        <v>664.4</v>
      </c>
      <c r="I32" s="130">
        <f t="shared" si="3"/>
        <v>1.864197531</v>
      </c>
      <c r="J32" s="131">
        <v>356.4</v>
      </c>
      <c r="K32" s="131">
        <v>821.44</v>
      </c>
      <c r="L32" s="65">
        <f t="shared" si="16"/>
        <v>1147350.427</v>
      </c>
    </row>
    <row r="33">
      <c r="A33" s="127">
        <v>31.0</v>
      </c>
      <c r="B33" s="109" t="s">
        <v>83</v>
      </c>
      <c r="C33" s="128">
        <v>8.0</v>
      </c>
      <c r="D33" s="129">
        <v>371250.0</v>
      </c>
      <c r="E33" s="129">
        <v>2970000.0</v>
      </c>
      <c r="F33" s="65">
        <f>IFERROR(__xludf.DUMMYFUNCTION("GOOGLEFINANCE(""005490"", ""price"")"),535000.0)</f>
        <v>535000</v>
      </c>
      <c r="G33" s="65">
        <f t="shared" si="1"/>
        <v>4280000</v>
      </c>
      <c r="H33" s="65">
        <f t="shared" si="2"/>
        <v>1310000</v>
      </c>
      <c r="I33" s="130">
        <f t="shared" si="3"/>
        <v>0.4410774411</v>
      </c>
      <c r="J33" s="131">
        <v>2126.36</v>
      </c>
      <c r="K33" s="132">
        <f t="shared" ref="K33:K34" si="17">G33/1396.755</f>
        <v>3064.24534</v>
      </c>
      <c r="L33" s="65">
        <f t="shared" ref="L33:L34" si="18">G33</f>
        <v>4280000</v>
      </c>
    </row>
    <row r="34">
      <c r="A34" s="127">
        <v>32.0</v>
      </c>
      <c r="B34" s="109" t="s">
        <v>65</v>
      </c>
      <c r="C34" s="128">
        <v>15.0</v>
      </c>
      <c r="D34" s="129">
        <v>47533.0</v>
      </c>
      <c r="E34" s="129">
        <v>713000.0</v>
      </c>
      <c r="F34" s="65">
        <f>IFERROR(__xludf.DUMMYFUNCTION("GOOGLEFINANCE(""105560"", ""price"")"),161200.0)</f>
        <v>161200</v>
      </c>
      <c r="G34" s="65">
        <f t="shared" si="1"/>
        <v>2418000</v>
      </c>
      <c r="H34" s="65">
        <f t="shared" si="2"/>
        <v>1705000</v>
      </c>
      <c r="I34" s="130">
        <f t="shared" si="3"/>
        <v>2.391304348</v>
      </c>
      <c r="J34" s="131">
        <v>510.47</v>
      </c>
      <c r="K34" s="132">
        <f t="shared" si="17"/>
        <v>1731.155428</v>
      </c>
      <c r="L34" s="65">
        <f t="shared" si="18"/>
        <v>2418000</v>
      </c>
    </row>
    <row r="35">
      <c r="A35" s="162">
        <v>33.0</v>
      </c>
      <c r="B35" s="163" t="s">
        <v>217</v>
      </c>
      <c r="C35" s="164">
        <v>8.068225</v>
      </c>
      <c r="D35" s="165">
        <v>500.99</v>
      </c>
      <c r="E35" s="165">
        <v>4042.1</v>
      </c>
      <c r="F35" s="166">
        <f>IFERROR(__xludf.DUMMYFUNCTION("GOOGLEFINANCE(""VOO"", ""price"")"),674.66)</f>
        <v>674.66</v>
      </c>
      <c r="G35" s="166">
        <f t="shared" si="1"/>
        <v>5443.308679</v>
      </c>
      <c r="H35" s="166">
        <f t="shared" si="2"/>
        <v>1401.208679</v>
      </c>
      <c r="I35" s="167">
        <f t="shared" si="3"/>
        <v>0.3466536401</v>
      </c>
      <c r="J35" s="168">
        <v>4042.1</v>
      </c>
      <c r="K35" s="168">
        <v>4935.98</v>
      </c>
      <c r="L35" s="169">
        <f>K35*1396.755</f>
        <v>6894354.745</v>
      </c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>
      <c r="A36" s="162">
        <v>34.0</v>
      </c>
      <c r="B36" s="163" t="s">
        <v>20</v>
      </c>
      <c r="C36" s="164">
        <v>193.0</v>
      </c>
      <c r="D36" s="171">
        <v>11717.0</v>
      </c>
      <c r="E36" s="171">
        <v>2261335.0</v>
      </c>
      <c r="F36" s="169">
        <f>IFERROR(__xludf.DUMMYFUNCTION("GOOGLEFINANCE(""458730"", ""price"")"),14620.0)</f>
        <v>14620</v>
      </c>
      <c r="G36" s="169">
        <f t="shared" si="1"/>
        <v>2821660</v>
      </c>
      <c r="H36" s="169">
        <f t="shared" si="2"/>
        <v>560325</v>
      </c>
      <c r="I36" s="167">
        <f t="shared" si="3"/>
        <v>0.2477850473</v>
      </c>
      <c r="J36" s="168">
        <v>1618.99</v>
      </c>
      <c r="K36" s="166">
        <f t="shared" ref="K36:K42" si="19">G36/1396.755</f>
        <v>2020.153857</v>
      </c>
      <c r="L36" s="169">
        <f t="shared" ref="L36:L42" si="20">G36</f>
        <v>2821660</v>
      </c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>
      <c r="A37" s="127">
        <v>35.0</v>
      </c>
      <c r="B37" s="109" t="s">
        <v>218</v>
      </c>
      <c r="C37" s="128">
        <v>22.0</v>
      </c>
      <c r="D37" s="129">
        <v>8826.0</v>
      </c>
      <c r="E37" s="129">
        <v>194170.0</v>
      </c>
      <c r="F37" s="65">
        <f>IFERROR(__xludf.DUMMYFUNCTION("GOOGLEFINANCE(""292560"", ""price"")"),8595.0)</f>
        <v>8595</v>
      </c>
      <c r="G37" s="65">
        <f t="shared" si="1"/>
        <v>189090</v>
      </c>
      <c r="H37" s="65">
        <f t="shared" si="2"/>
        <v>-5080</v>
      </c>
      <c r="I37" s="130">
        <f t="shared" si="3"/>
        <v>-0.02616264098</v>
      </c>
      <c r="J37" s="131">
        <v>139.02</v>
      </c>
      <c r="K37" s="132">
        <f t="shared" si="19"/>
        <v>135.3780727</v>
      </c>
      <c r="L37" s="65">
        <f t="shared" si="20"/>
        <v>189090</v>
      </c>
    </row>
    <row r="38">
      <c r="A38" s="162">
        <v>36.0</v>
      </c>
      <c r="B38" s="163" t="s">
        <v>26</v>
      </c>
      <c r="C38" s="164">
        <v>188.0</v>
      </c>
      <c r="D38" s="171">
        <v>17358.0</v>
      </c>
      <c r="E38" s="171">
        <v>3263265.0</v>
      </c>
      <c r="F38" s="169">
        <f>IFERROR(__xludf.DUMMYFUNCTION("GOOGLEFINANCE(""411060"", ""price"")"),30815.0)</f>
        <v>30815</v>
      </c>
      <c r="G38" s="169">
        <f t="shared" si="1"/>
        <v>5793220</v>
      </c>
      <c r="H38" s="169">
        <f t="shared" si="2"/>
        <v>2529955</v>
      </c>
      <c r="I38" s="167">
        <f t="shared" si="3"/>
        <v>0.7752833435</v>
      </c>
      <c r="J38" s="168">
        <v>2336.32</v>
      </c>
      <c r="K38" s="166">
        <f t="shared" si="19"/>
        <v>4147.627895</v>
      </c>
      <c r="L38" s="169">
        <f t="shared" si="20"/>
        <v>5793220</v>
      </c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>
      <c r="A39" s="162">
        <v>37.0</v>
      </c>
      <c r="B39" s="163" t="s">
        <v>219</v>
      </c>
      <c r="C39" s="164">
        <v>83.0</v>
      </c>
      <c r="D39" s="171">
        <v>24322.0</v>
      </c>
      <c r="E39" s="171">
        <v>2018715.0</v>
      </c>
      <c r="F39" s="169">
        <f>IFERROR(__xludf.DUMMYFUNCTION("GOOGLEFINANCE(""200250"", ""price"")"),22990.0)</f>
        <v>22990</v>
      </c>
      <c r="G39" s="169">
        <f t="shared" si="1"/>
        <v>1908170</v>
      </c>
      <c r="H39" s="169">
        <f t="shared" si="2"/>
        <v>-110545</v>
      </c>
      <c r="I39" s="167">
        <f t="shared" si="3"/>
        <v>-0.05476008253</v>
      </c>
      <c r="J39" s="168">
        <v>1445.29</v>
      </c>
      <c r="K39" s="166">
        <f t="shared" si="19"/>
        <v>1366.145101</v>
      </c>
      <c r="L39" s="169">
        <f t="shared" si="20"/>
        <v>1908170</v>
      </c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</row>
    <row r="40">
      <c r="A40" s="162">
        <v>38.0</v>
      </c>
      <c r="B40" s="163" t="s">
        <v>23</v>
      </c>
      <c r="C40" s="164">
        <v>179.0</v>
      </c>
      <c r="D40" s="171">
        <v>20828.0</v>
      </c>
      <c r="E40" s="171">
        <v>3728135.0</v>
      </c>
      <c r="F40" s="169">
        <f>IFERROR(__xludf.DUMMYFUNCTION("GOOGLEFINANCE(""367380"", ""price"")"),31645.0)</f>
        <v>31645</v>
      </c>
      <c r="G40" s="169">
        <f t="shared" si="1"/>
        <v>5664455</v>
      </c>
      <c r="H40" s="169">
        <f t="shared" si="2"/>
        <v>1936320</v>
      </c>
      <c r="I40" s="167">
        <f t="shared" si="3"/>
        <v>0.5193803336</v>
      </c>
      <c r="J40" s="168">
        <v>2669.14</v>
      </c>
      <c r="K40" s="166">
        <f t="shared" si="19"/>
        <v>4055.439214</v>
      </c>
      <c r="L40" s="169">
        <f t="shared" si="20"/>
        <v>5664455</v>
      </c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</row>
    <row r="41">
      <c r="A41" s="162">
        <v>39.0</v>
      </c>
      <c r="B41" s="163" t="s">
        <v>220</v>
      </c>
      <c r="C41" s="164">
        <v>107.0</v>
      </c>
      <c r="D41" s="171">
        <v>10940.0</v>
      </c>
      <c r="E41" s="171">
        <v>1170570.0</v>
      </c>
      <c r="F41" s="169">
        <f>IFERROR(__xludf.DUMMYFUNCTION("GOOGLEFINANCE(""446720"", ""price"")"),13400.0)</f>
        <v>13400</v>
      </c>
      <c r="G41" s="169">
        <f t="shared" si="1"/>
        <v>1433800</v>
      </c>
      <c r="H41" s="169">
        <f t="shared" si="2"/>
        <v>263230</v>
      </c>
      <c r="I41" s="167">
        <f t="shared" si="3"/>
        <v>0.2248733523</v>
      </c>
      <c r="J41" s="168">
        <v>838.06</v>
      </c>
      <c r="K41" s="166">
        <f t="shared" si="19"/>
        <v>1026.522189</v>
      </c>
      <c r="L41" s="169">
        <f t="shared" si="20"/>
        <v>1433800</v>
      </c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</row>
    <row r="42">
      <c r="A42" s="162">
        <v>40.0</v>
      </c>
      <c r="B42" s="163" t="s">
        <v>14</v>
      </c>
      <c r="C42" s="164">
        <v>221.0</v>
      </c>
      <c r="D42" s="171">
        <v>11368.0</v>
      </c>
      <c r="E42" s="171">
        <v>2512360.0</v>
      </c>
      <c r="F42" s="169">
        <f>IFERROR(__xludf.DUMMYFUNCTION("GOOGLEFINANCE(""456880"", ""price"")"),12630.0)</f>
        <v>12630</v>
      </c>
      <c r="G42" s="169">
        <f t="shared" si="1"/>
        <v>2791230</v>
      </c>
      <c r="H42" s="169">
        <f t="shared" si="2"/>
        <v>278870</v>
      </c>
      <c r="I42" s="167">
        <f t="shared" si="3"/>
        <v>0.1109992199</v>
      </c>
      <c r="J42" s="168">
        <v>1798.71</v>
      </c>
      <c r="K42" s="166">
        <f t="shared" si="19"/>
        <v>1998.367645</v>
      </c>
      <c r="L42" s="169">
        <f t="shared" si="20"/>
        <v>2791230</v>
      </c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>
      <c r="A43" s="127">
        <v>41.0</v>
      </c>
      <c r="B43" s="109" t="s">
        <v>50</v>
      </c>
      <c r="C43" s="128">
        <v>12.548354</v>
      </c>
      <c r="D43" s="133">
        <v>149.42</v>
      </c>
      <c r="E43" s="133">
        <v>1875.01</v>
      </c>
      <c r="F43" s="132">
        <f>IFERROR(__xludf.DUMMYFUNCTION("GOOGLEFINANCE(""XLV"", ""price"")"),145.4)</f>
        <v>145.4</v>
      </c>
      <c r="G43" s="132">
        <f t="shared" si="1"/>
        <v>1824.530672</v>
      </c>
      <c r="H43" s="132">
        <f t="shared" si="2"/>
        <v>-50.4793284</v>
      </c>
      <c r="I43" s="130">
        <f t="shared" si="3"/>
        <v>-0.0269221649</v>
      </c>
      <c r="J43" s="131">
        <v>1875.01</v>
      </c>
      <c r="K43" s="131">
        <v>1722.76</v>
      </c>
      <c r="L43" s="65">
        <f t="shared" ref="L43:L44" si="21">K43*1396.755</f>
        <v>2406273.644</v>
      </c>
    </row>
    <row r="44">
      <c r="A44" s="127">
        <v>42.0</v>
      </c>
      <c r="B44" s="109" t="s">
        <v>67</v>
      </c>
      <c r="C44" s="128">
        <v>2.0</v>
      </c>
      <c r="D44" s="133">
        <v>106.72</v>
      </c>
      <c r="E44" s="133">
        <v>213.44</v>
      </c>
      <c r="F44" s="132">
        <f>IFERROR(__xludf.DUMMYFUNCTION("GOOGLEFINANCE(""NVDA"", ""price"")"),207.83)</f>
        <v>207.83</v>
      </c>
      <c r="G44" s="132">
        <f t="shared" si="1"/>
        <v>415.66</v>
      </c>
      <c r="H44" s="132">
        <f t="shared" si="2"/>
        <v>202.22</v>
      </c>
      <c r="I44" s="130">
        <f t="shared" si="3"/>
        <v>0.9474325337</v>
      </c>
      <c r="J44" s="131">
        <v>213.44</v>
      </c>
      <c r="K44" s="131">
        <v>353.2</v>
      </c>
      <c r="L44" s="65">
        <f t="shared" si="21"/>
        <v>493333.866</v>
      </c>
    </row>
    <row r="45">
      <c r="A45" s="127">
        <v>43.0</v>
      </c>
      <c r="B45" s="109" t="s">
        <v>53</v>
      </c>
      <c r="C45" s="128">
        <v>215.0</v>
      </c>
      <c r="D45" s="129">
        <v>14390.0</v>
      </c>
      <c r="E45" s="129">
        <v>3093780.0</v>
      </c>
      <c r="F45" s="65">
        <f>IFERROR(__xludf.DUMMYFUNCTION("GOOGLEFINANCE(""434060"", ""price"")"),18195.0)</f>
        <v>18195</v>
      </c>
      <c r="G45" s="65">
        <f t="shared" si="1"/>
        <v>3911925</v>
      </c>
      <c r="H45" s="65">
        <f t="shared" si="2"/>
        <v>818145</v>
      </c>
      <c r="I45" s="130">
        <f t="shared" si="3"/>
        <v>0.2644483447</v>
      </c>
      <c r="J45" s="131">
        <v>2214.98</v>
      </c>
      <c r="K45" s="132">
        <f t="shared" ref="K45:K47" si="22">G45/1396.755</f>
        <v>2800.723821</v>
      </c>
      <c r="L45" s="65">
        <f t="shared" ref="L45:L47" si="23">G45</f>
        <v>3911925</v>
      </c>
    </row>
    <row r="46">
      <c r="A46" s="162">
        <v>44.0</v>
      </c>
      <c r="B46" s="163" t="s">
        <v>75</v>
      </c>
      <c r="C46" s="164">
        <v>13.0</v>
      </c>
      <c r="D46" s="171">
        <v>69654.0</v>
      </c>
      <c r="E46" s="171">
        <v>905500.0</v>
      </c>
      <c r="F46" s="169">
        <f>IFERROR(__xludf.DUMMYFUNCTION("GOOGLEFINANCE(""016360"", ""price"")"),146500.0)</f>
        <v>146500</v>
      </c>
      <c r="G46" s="169">
        <f t="shared" si="1"/>
        <v>1904500</v>
      </c>
      <c r="H46" s="169">
        <f t="shared" si="2"/>
        <v>999000</v>
      </c>
      <c r="I46" s="167">
        <f t="shared" si="3"/>
        <v>1.103257869</v>
      </c>
      <c r="J46" s="168">
        <v>648.29</v>
      </c>
      <c r="K46" s="166">
        <f t="shared" si="22"/>
        <v>1363.517582</v>
      </c>
      <c r="L46" s="169">
        <f t="shared" si="23"/>
        <v>1904500</v>
      </c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>
      <c r="A47" s="162">
        <v>45.0</v>
      </c>
      <c r="B47" s="163" t="s">
        <v>57</v>
      </c>
      <c r="C47" s="164">
        <v>56.0</v>
      </c>
      <c r="D47" s="171">
        <v>15864.0</v>
      </c>
      <c r="E47" s="171">
        <v>888390.0</v>
      </c>
      <c r="F47" s="169">
        <f>IFERROR(__xludf.DUMMYFUNCTION("GOOGLEFINANCE(""487230"", ""price"")"),27835.0)</f>
        <v>27835</v>
      </c>
      <c r="G47" s="169">
        <f t="shared" si="1"/>
        <v>1558760</v>
      </c>
      <c r="H47" s="169">
        <f t="shared" si="2"/>
        <v>670370</v>
      </c>
      <c r="I47" s="167">
        <f t="shared" si="3"/>
        <v>0.7545897635</v>
      </c>
      <c r="J47" s="168">
        <v>636.04</v>
      </c>
      <c r="K47" s="166">
        <f t="shared" si="22"/>
        <v>1115.986698</v>
      </c>
      <c r="L47" s="169">
        <f t="shared" si="23"/>
        <v>1558760</v>
      </c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</row>
    <row r="48">
      <c r="B48" s="109" t="s">
        <v>129</v>
      </c>
      <c r="C48" s="133">
        <v>89353.85</v>
      </c>
      <c r="D48" s="134"/>
      <c r="E48" s="134"/>
      <c r="F48" s="65"/>
      <c r="G48" s="65"/>
      <c r="H48" s="65"/>
      <c r="I48" s="130"/>
      <c r="J48" s="132"/>
      <c r="K48" s="132"/>
      <c r="L48" s="65"/>
    </row>
    <row r="49">
      <c r="B49" s="109" t="s">
        <v>138</v>
      </c>
      <c r="C49" s="133">
        <v>123158.83</v>
      </c>
      <c r="D49" s="65"/>
    </row>
    <row r="50">
      <c r="B50" s="109" t="s">
        <v>139</v>
      </c>
      <c r="C50" s="133">
        <v>33804.98</v>
      </c>
      <c r="D50" s="65"/>
    </row>
    <row r="51">
      <c r="B51" s="109" t="s">
        <v>140</v>
      </c>
      <c r="C51" s="135">
        <v>0.3783</v>
      </c>
      <c r="D51" s="65"/>
    </row>
    <row r="52">
      <c r="B52" s="64"/>
      <c r="C52" s="13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13" max="13" width="28.75"/>
  </cols>
  <sheetData>
    <row r="1">
      <c r="B1" s="127">
        <v>1389.20918</v>
      </c>
      <c r="M1" s="109" t="s">
        <v>221</v>
      </c>
    </row>
    <row r="2">
      <c r="A2" s="109" t="s">
        <v>126</v>
      </c>
      <c r="B2" s="109" t="s">
        <v>1</v>
      </c>
      <c r="C2" s="109" t="s">
        <v>127</v>
      </c>
      <c r="D2" s="109" t="s">
        <v>128</v>
      </c>
      <c r="E2" s="109" t="s">
        <v>129</v>
      </c>
      <c r="F2" s="109" t="s">
        <v>130</v>
      </c>
      <c r="G2" s="109" t="s">
        <v>131</v>
      </c>
      <c r="H2" s="109" t="s">
        <v>132</v>
      </c>
      <c r="I2" s="109" t="s">
        <v>133</v>
      </c>
      <c r="J2" s="109" t="s">
        <v>134</v>
      </c>
      <c r="K2" s="109" t="s">
        <v>135</v>
      </c>
      <c r="L2" s="109" t="s">
        <v>136</v>
      </c>
    </row>
    <row r="3">
      <c r="A3" s="127">
        <v>1.0</v>
      </c>
      <c r="B3" s="109" t="s">
        <v>37</v>
      </c>
      <c r="C3" s="128">
        <v>133.0</v>
      </c>
      <c r="D3" s="129">
        <v>60281.0</v>
      </c>
      <c r="E3" s="129">
        <v>8017400.0</v>
      </c>
      <c r="F3" s="65">
        <f>IFERROR(__xludf.DUMMYFUNCTION("GOOGLEFINANCE(""005930"", ""price"")"),271000.0)</f>
        <v>271000</v>
      </c>
      <c r="G3" s="65">
        <f t="shared" ref="G3:G48" si="1">F3*C3</f>
        <v>36043000</v>
      </c>
      <c r="H3" s="65">
        <f t="shared" ref="H3:H48" si="2">G3-E3</f>
        <v>28025600</v>
      </c>
      <c r="I3" s="130">
        <f t="shared" ref="I3:I48" si="3">IF(E3&gt;0, H3/E3, 0)</f>
        <v>3.495597076</v>
      </c>
      <c r="J3" s="131">
        <v>5771.2</v>
      </c>
      <c r="K3" s="132">
        <f t="shared" ref="K3:K4" si="4">G3/1389.20918</f>
        <v>25944.97684</v>
      </c>
      <c r="L3" s="65">
        <f t="shared" ref="L3:L4" si="5">G3</f>
        <v>36043000</v>
      </c>
    </row>
    <row r="4">
      <c r="A4" s="127">
        <v>2.0</v>
      </c>
      <c r="B4" s="109" t="s">
        <v>39</v>
      </c>
      <c r="C4" s="128">
        <v>34.0</v>
      </c>
      <c r="D4" s="129">
        <v>52668.0</v>
      </c>
      <c r="E4" s="129">
        <v>1790697.0</v>
      </c>
      <c r="F4" s="65">
        <f>IFERROR(__xludf.DUMMYFUNCTION("GOOGLEFINANCE(""005935"", ""price"")"),185250.0)</f>
        <v>185250</v>
      </c>
      <c r="G4" s="65">
        <f t="shared" si="1"/>
        <v>6298500</v>
      </c>
      <c r="H4" s="65">
        <f t="shared" si="2"/>
        <v>4507803</v>
      </c>
      <c r="I4" s="130">
        <f t="shared" si="3"/>
        <v>2.517345481</v>
      </c>
      <c r="J4" s="131">
        <v>1289.0</v>
      </c>
      <c r="K4" s="132">
        <f t="shared" si="4"/>
        <v>4533.874445</v>
      </c>
      <c r="L4" s="65">
        <f t="shared" si="5"/>
        <v>6298500</v>
      </c>
    </row>
    <row r="5">
      <c r="A5" s="127">
        <v>3.0</v>
      </c>
      <c r="B5" s="109" t="s">
        <v>186</v>
      </c>
      <c r="C5" s="128">
        <v>110.397405</v>
      </c>
      <c r="D5" s="133">
        <v>51.51</v>
      </c>
      <c r="E5" s="133">
        <v>5686.85</v>
      </c>
      <c r="F5" s="132">
        <f>IFERROR(__xludf.DUMMYFUNCTION("GOOGLEFINANCE(""KO"", ""price"")"),79.23)</f>
        <v>79.23</v>
      </c>
      <c r="G5" s="132">
        <f t="shared" si="1"/>
        <v>8746.786398</v>
      </c>
      <c r="H5" s="132">
        <f t="shared" si="2"/>
        <v>3059.936398</v>
      </c>
      <c r="I5" s="130">
        <f t="shared" si="3"/>
        <v>0.5380722893</v>
      </c>
      <c r="J5" s="131">
        <v>5686.85</v>
      </c>
      <c r="K5" s="131">
        <v>7647.23</v>
      </c>
      <c r="L5" s="65">
        <f>K5*1389.20918</f>
        <v>10623602.12</v>
      </c>
    </row>
    <row r="6">
      <c r="A6" s="127">
        <v>4.0</v>
      </c>
      <c r="B6" s="109" t="s">
        <v>208</v>
      </c>
      <c r="C6" s="128">
        <v>93.0</v>
      </c>
      <c r="D6" s="129">
        <v>67593.0</v>
      </c>
      <c r="E6" s="129">
        <v>6286120.0</v>
      </c>
      <c r="F6" s="65">
        <f>IFERROR(__xludf.DUMMYFUNCTION("GOOGLEFINANCE(""133690"", ""price"")"),184065.0)</f>
        <v>184065</v>
      </c>
      <c r="G6" s="65">
        <f t="shared" si="1"/>
        <v>17118045</v>
      </c>
      <c r="H6" s="65">
        <f t="shared" si="2"/>
        <v>10831925</v>
      </c>
      <c r="I6" s="130">
        <f t="shared" si="3"/>
        <v>1.723149574</v>
      </c>
      <c r="J6" s="131">
        <v>4524.96</v>
      </c>
      <c r="K6" s="132">
        <f>G6/1389.20918</f>
        <v>12322.15079</v>
      </c>
      <c r="L6" s="65">
        <f>G6</f>
        <v>17118045</v>
      </c>
    </row>
    <row r="7">
      <c r="A7" s="127">
        <v>5.0</v>
      </c>
      <c r="B7" s="109" t="s">
        <v>71</v>
      </c>
      <c r="C7" s="128">
        <v>31.0</v>
      </c>
      <c r="D7" s="133">
        <v>95.3</v>
      </c>
      <c r="E7" s="133">
        <v>2954.44</v>
      </c>
      <c r="F7" s="132">
        <f>IFERROR(__xludf.DUMMYFUNCTION("GOOGLEFINANCE(""VYM"", ""price"")"),156.95)</f>
        <v>156.95</v>
      </c>
      <c r="G7" s="132">
        <f t="shared" si="1"/>
        <v>4865.45</v>
      </c>
      <c r="H7" s="132">
        <f t="shared" si="2"/>
        <v>1911.01</v>
      </c>
      <c r="I7" s="130">
        <f t="shared" si="3"/>
        <v>0.6468264713</v>
      </c>
      <c r="J7" s="131">
        <v>2954.44</v>
      </c>
      <c r="K7" s="131">
        <v>4157.41</v>
      </c>
      <c r="L7" s="65">
        <f>K7*1389.20918</f>
        <v>5775512.137</v>
      </c>
    </row>
    <row r="8">
      <c r="A8" s="127">
        <v>6.0</v>
      </c>
      <c r="B8" s="109" t="s">
        <v>209</v>
      </c>
      <c r="C8" s="128">
        <v>159.0</v>
      </c>
      <c r="D8" s="129">
        <v>16504.0</v>
      </c>
      <c r="E8" s="129">
        <v>2624070.0</v>
      </c>
      <c r="F8" s="65">
        <f>IFERROR(__xludf.DUMMYFUNCTION("GOOGLEFINANCE(""245340"", ""price"")"),35255.0)</f>
        <v>35255</v>
      </c>
      <c r="G8" s="65">
        <f t="shared" si="1"/>
        <v>5605545</v>
      </c>
      <c r="H8" s="65">
        <f t="shared" si="2"/>
        <v>2981475</v>
      </c>
      <c r="I8" s="130">
        <f t="shared" si="3"/>
        <v>1.13620254</v>
      </c>
      <c r="J8" s="131">
        <v>1888.89</v>
      </c>
      <c r="K8" s="132">
        <f>G8/1389.20918</f>
        <v>4035.061876</v>
      </c>
      <c r="L8" s="65">
        <f>G8</f>
        <v>5605545</v>
      </c>
    </row>
    <row r="9">
      <c r="A9" s="127">
        <v>7.0</v>
      </c>
      <c r="B9" s="109" t="s">
        <v>79</v>
      </c>
      <c r="C9" s="128">
        <v>23.637130000000003</v>
      </c>
      <c r="D9" s="133">
        <v>143.97</v>
      </c>
      <c r="E9" s="133">
        <v>3403.14</v>
      </c>
      <c r="F9" s="132">
        <f>IFERROR(__xludf.DUMMYFUNCTION("GOOGLEFINANCE(""AAPL"", ""price"")"),287.51)</f>
        <v>287.51</v>
      </c>
      <c r="G9" s="132">
        <f t="shared" si="1"/>
        <v>6795.911246</v>
      </c>
      <c r="H9" s="132">
        <f t="shared" si="2"/>
        <v>3392.771246</v>
      </c>
      <c r="I9" s="130">
        <f t="shared" si="3"/>
        <v>0.9969531804</v>
      </c>
      <c r="J9" s="131">
        <v>3403.14</v>
      </c>
      <c r="K9" s="131">
        <v>4967.58</v>
      </c>
      <c r="L9" s="65">
        <f>K9*1389.20918</f>
        <v>6901007.738</v>
      </c>
    </row>
    <row r="10">
      <c r="A10" s="172">
        <v>8.0</v>
      </c>
      <c r="B10" s="173" t="s">
        <v>81</v>
      </c>
      <c r="C10" s="174">
        <v>98.0</v>
      </c>
      <c r="D10" s="175">
        <v>17921.0</v>
      </c>
      <c r="E10" s="175">
        <v>1756305.0</v>
      </c>
      <c r="F10" s="176">
        <f>IFERROR(__xludf.DUMMYFUNCTION("GOOGLEFINANCE(""157490"", ""price"")"),9080.0)</f>
        <v>9080</v>
      </c>
      <c r="G10" s="176">
        <f t="shared" si="1"/>
        <v>889840</v>
      </c>
      <c r="H10" s="176">
        <f t="shared" si="2"/>
        <v>-866465</v>
      </c>
      <c r="I10" s="177">
        <f t="shared" si="3"/>
        <v>-0.4933454041</v>
      </c>
      <c r="J10" s="178">
        <v>1264.25</v>
      </c>
      <c r="K10" s="179">
        <f t="shared" ref="K10:K11" si="6">G10/1389.20918</f>
        <v>640.537086</v>
      </c>
      <c r="L10" s="176">
        <f t="shared" ref="L10:L11" si="7">G10</f>
        <v>889840</v>
      </c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</row>
    <row r="11">
      <c r="A11" s="172">
        <v>9.0</v>
      </c>
      <c r="B11" s="173" t="s">
        <v>90</v>
      </c>
      <c r="C11" s="174">
        <v>3.0</v>
      </c>
      <c r="D11" s="175">
        <v>177500.0</v>
      </c>
      <c r="E11" s="175">
        <v>532500.0</v>
      </c>
      <c r="F11" s="176">
        <f>IFERROR(__xludf.DUMMYFUNCTION("GOOGLEFINANCE(""139480"", ""price"")"),108100.0)</f>
        <v>108100</v>
      </c>
      <c r="G11" s="176">
        <f t="shared" si="1"/>
        <v>324300</v>
      </c>
      <c r="H11" s="176">
        <f t="shared" si="2"/>
        <v>-208200</v>
      </c>
      <c r="I11" s="177">
        <f t="shared" si="3"/>
        <v>-0.3909859155</v>
      </c>
      <c r="J11" s="178">
        <v>383.31</v>
      </c>
      <c r="K11" s="179">
        <f t="shared" si="6"/>
        <v>233.442166</v>
      </c>
      <c r="L11" s="176">
        <f t="shared" si="7"/>
        <v>324300</v>
      </c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</row>
    <row r="12">
      <c r="A12" s="172">
        <v>10.0</v>
      </c>
      <c r="B12" s="173" t="s">
        <v>199</v>
      </c>
      <c r="C12" s="174">
        <v>83.032213</v>
      </c>
      <c r="D12" s="181">
        <v>38.17</v>
      </c>
      <c r="E12" s="181">
        <v>3169.23</v>
      </c>
      <c r="F12" s="179">
        <f>IFERROR(__xludf.DUMMYFUNCTION("GOOGLEFINANCE(""PFE"", ""price"")"),26.53)</f>
        <v>26.53</v>
      </c>
      <c r="G12" s="179">
        <f t="shared" si="1"/>
        <v>2202.844611</v>
      </c>
      <c r="H12" s="179">
        <f t="shared" si="2"/>
        <v>-966.3853891</v>
      </c>
      <c r="I12" s="177">
        <f t="shared" si="3"/>
        <v>-0.3049275026</v>
      </c>
      <c r="J12" s="178">
        <v>3169.23</v>
      </c>
      <c r="K12" s="178">
        <v>2043.42</v>
      </c>
      <c r="L12" s="176">
        <f t="shared" ref="L12:L14" si="8">K12*1389.20918</f>
        <v>2838737.823</v>
      </c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</row>
    <row r="13">
      <c r="A13" s="127">
        <v>11.0</v>
      </c>
      <c r="B13" s="109" t="s">
        <v>11</v>
      </c>
      <c r="C13" s="128">
        <v>45.310446</v>
      </c>
      <c r="D13" s="133">
        <v>170.39</v>
      </c>
      <c r="E13" s="133">
        <v>7720.36</v>
      </c>
      <c r="F13" s="132">
        <f>IFERROR(__xludf.DUMMYFUNCTION("GOOGLEFINANCE(""SMH"", ""price"")"),549.76)</f>
        <v>549.76</v>
      </c>
      <c r="G13" s="132">
        <f t="shared" si="1"/>
        <v>24909.87079</v>
      </c>
      <c r="H13" s="132">
        <f t="shared" si="2"/>
        <v>17189.51079</v>
      </c>
      <c r="I13" s="130">
        <f t="shared" si="3"/>
        <v>2.226516742</v>
      </c>
      <c r="J13" s="131">
        <v>7720.36</v>
      </c>
      <c r="K13" s="131">
        <v>13107.41</v>
      </c>
      <c r="L13" s="65">
        <f t="shared" si="8"/>
        <v>18208934.3</v>
      </c>
    </row>
    <row r="14">
      <c r="A14" s="172">
        <v>12.0</v>
      </c>
      <c r="B14" s="173" t="s">
        <v>210</v>
      </c>
      <c r="C14" s="174">
        <v>2.0</v>
      </c>
      <c r="D14" s="181">
        <v>132.77</v>
      </c>
      <c r="E14" s="181">
        <v>265.54</v>
      </c>
      <c r="F14" s="179">
        <f>IFERROR(__xludf.DUMMYFUNCTION("GOOGLEFINANCE(""NKE"", ""price"")"),43.88)</f>
        <v>43.88</v>
      </c>
      <c r="G14" s="179">
        <f t="shared" si="1"/>
        <v>87.76</v>
      </c>
      <c r="H14" s="179">
        <f t="shared" si="2"/>
        <v>-177.78</v>
      </c>
      <c r="I14" s="177">
        <f t="shared" si="3"/>
        <v>-0.6695036529</v>
      </c>
      <c r="J14" s="178">
        <v>265.54</v>
      </c>
      <c r="K14" s="178">
        <v>144.2</v>
      </c>
      <c r="L14" s="176">
        <f t="shared" si="8"/>
        <v>200323.9638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</row>
    <row r="15">
      <c r="A15" s="172">
        <v>13.0</v>
      </c>
      <c r="B15" s="173" t="s">
        <v>177</v>
      </c>
      <c r="C15" s="174">
        <v>5.0</v>
      </c>
      <c r="D15" s="175">
        <v>239200.0</v>
      </c>
      <c r="E15" s="175">
        <v>1196000.0</v>
      </c>
      <c r="F15" s="176">
        <f>IFERROR(__xludf.DUMMYFUNCTION("GOOGLEFINANCE(""034730"", ""price"")"),544000.0)</f>
        <v>544000</v>
      </c>
      <c r="G15" s="176">
        <f t="shared" si="1"/>
        <v>2720000</v>
      </c>
      <c r="H15" s="176">
        <f t="shared" si="2"/>
        <v>1524000</v>
      </c>
      <c r="I15" s="177">
        <f t="shared" si="3"/>
        <v>1.274247492</v>
      </c>
      <c r="J15" s="178">
        <v>860.92</v>
      </c>
      <c r="K15" s="179">
        <f t="shared" ref="K15:K16" si="9">G15/1389.20918</f>
        <v>1957.948478</v>
      </c>
      <c r="L15" s="176">
        <f t="shared" ref="L15:L16" si="10">G15</f>
        <v>2720000</v>
      </c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</row>
    <row r="16">
      <c r="A16" s="127">
        <v>14.0</v>
      </c>
      <c r="B16" s="109" t="s">
        <v>32</v>
      </c>
      <c r="C16" s="128">
        <v>222.0</v>
      </c>
      <c r="D16" s="129">
        <v>12267.0</v>
      </c>
      <c r="E16" s="129">
        <v>2723270.0</v>
      </c>
      <c r="F16" s="65">
        <f>IFERROR(__xludf.DUMMYFUNCTION("GOOGLEFINANCE(""379800"", ""price"")"),24205.0)</f>
        <v>24205</v>
      </c>
      <c r="G16" s="65">
        <f t="shared" si="1"/>
        <v>5373510</v>
      </c>
      <c r="H16" s="65">
        <f t="shared" si="2"/>
        <v>2650240</v>
      </c>
      <c r="I16" s="130">
        <f t="shared" si="3"/>
        <v>0.9731829749</v>
      </c>
      <c r="J16" s="131">
        <v>1960.3</v>
      </c>
      <c r="K16" s="132">
        <f t="shared" si="9"/>
        <v>3868.035194</v>
      </c>
      <c r="L16" s="65">
        <f t="shared" si="10"/>
        <v>5373510</v>
      </c>
    </row>
    <row r="17">
      <c r="A17" s="127">
        <v>15.0</v>
      </c>
      <c r="B17" s="109" t="s">
        <v>203</v>
      </c>
      <c r="C17" s="128">
        <v>7.0</v>
      </c>
      <c r="D17" s="133">
        <v>445.47</v>
      </c>
      <c r="E17" s="133">
        <v>3118.28</v>
      </c>
      <c r="F17" s="132">
        <f>IFERROR(__xludf.DUMMYFUNCTION("GOOGLEFINANCE(""SPY"", ""price"")"),733.83)</f>
        <v>733.83</v>
      </c>
      <c r="G17" s="132">
        <f t="shared" si="1"/>
        <v>5136.81</v>
      </c>
      <c r="H17" s="132">
        <f t="shared" si="2"/>
        <v>2018.53</v>
      </c>
      <c r="I17" s="130">
        <f t="shared" si="3"/>
        <v>0.6473216004</v>
      </c>
      <c r="J17" s="131">
        <v>3118.28</v>
      </c>
      <c r="K17" s="131">
        <v>4369.54</v>
      </c>
      <c r="L17" s="65">
        <f t="shared" ref="L17:L25" si="11">K17*1389.20918</f>
        <v>6070205.08</v>
      </c>
    </row>
    <row r="18">
      <c r="A18" s="127">
        <v>16.0</v>
      </c>
      <c r="B18" s="109" t="s">
        <v>200</v>
      </c>
      <c r="C18" s="128">
        <v>13.937922</v>
      </c>
      <c r="D18" s="133">
        <v>344.73</v>
      </c>
      <c r="E18" s="133">
        <v>4804.81</v>
      </c>
      <c r="F18" s="132">
        <f>IFERROR(__xludf.DUMMYFUNCTION("GOOGLEFINANCE(""MSFT"", ""price"")"),413.96)</f>
        <v>413.96</v>
      </c>
      <c r="G18" s="132">
        <f t="shared" si="1"/>
        <v>5769.742191</v>
      </c>
      <c r="H18" s="132">
        <f t="shared" si="2"/>
        <v>964.9321911</v>
      </c>
      <c r="I18" s="130">
        <f t="shared" si="3"/>
        <v>0.2008262951</v>
      </c>
      <c r="J18" s="131">
        <v>4804.81</v>
      </c>
      <c r="K18" s="131">
        <v>7047.29</v>
      </c>
      <c r="L18" s="65">
        <f t="shared" si="11"/>
        <v>9790159.962</v>
      </c>
    </row>
    <row r="19">
      <c r="A19" s="172">
        <v>17.0</v>
      </c>
      <c r="B19" s="173" t="s">
        <v>211</v>
      </c>
      <c r="C19" s="174">
        <v>1.188598</v>
      </c>
      <c r="D19" s="181">
        <v>345.98</v>
      </c>
      <c r="E19" s="181">
        <v>411.24</v>
      </c>
      <c r="F19" s="179">
        <f>IFERROR(__xludf.DUMMYFUNCTION("GOOGLEFINANCE(""BRK.B"", ""price"")"),469.83)</f>
        <v>469.83</v>
      </c>
      <c r="G19" s="179">
        <f t="shared" si="1"/>
        <v>558.4389983</v>
      </c>
      <c r="H19" s="179">
        <f t="shared" si="2"/>
        <v>147.1989983</v>
      </c>
      <c r="I19" s="177">
        <f t="shared" si="3"/>
        <v>0.3579393987</v>
      </c>
      <c r="J19" s="178">
        <v>411.24</v>
      </c>
      <c r="K19" s="178">
        <v>560.2</v>
      </c>
      <c r="L19" s="176">
        <f t="shared" si="11"/>
        <v>778234.9826</v>
      </c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</row>
    <row r="20">
      <c r="A20" s="127">
        <v>18.0</v>
      </c>
      <c r="B20" s="109" t="s">
        <v>212</v>
      </c>
      <c r="C20" s="128">
        <v>3.0</v>
      </c>
      <c r="D20" s="133">
        <v>150.75</v>
      </c>
      <c r="E20" s="133">
        <v>452.26</v>
      </c>
      <c r="F20" s="132">
        <f>IFERROR(__xludf.DUMMYFUNCTION("GOOGLEFINANCE(""SOXX"", ""price"")"),506.87)</f>
        <v>506.87</v>
      </c>
      <c r="G20" s="132">
        <f t="shared" si="1"/>
        <v>1520.61</v>
      </c>
      <c r="H20" s="132">
        <f t="shared" si="2"/>
        <v>1068.35</v>
      </c>
      <c r="I20" s="130">
        <f t="shared" si="3"/>
        <v>2.36224738</v>
      </c>
      <c r="J20" s="131">
        <v>452.26</v>
      </c>
      <c r="K20" s="131">
        <v>736.77</v>
      </c>
      <c r="L20" s="65">
        <f t="shared" si="11"/>
        <v>1023527.648</v>
      </c>
    </row>
    <row r="21">
      <c r="A21" s="172">
        <v>19.0</v>
      </c>
      <c r="B21" s="173" t="s">
        <v>197</v>
      </c>
      <c r="C21" s="174">
        <v>0.22056</v>
      </c>
      <c r="D21" s="181">
        <v>127.48</v>
      </c>
      <c r="E21" s="181">
        <v>28.12</v>
      </c>
      <c r="F21" s="179">
        <f>IFERROR(__xludf.DUMMYFUNCTION("GOOGLEFINANCE(""GOOGL"", ""price"")"),398.04)</f>
        <v>398.04</v>
      </c>
      <c r="G21" s="179">
        <f t="shared" si="1"/>
        <v>87.7917024</v>
      </c>
      <c r="H21" s="179">
        <f t="shared" si="2"/>
        <v>59.6717024</v>
      </c>
      <c r="I21" s="177">
        <f t="shared" si="3"/>
        <v>2.122037781</v>
      </c>
      <c r="J21" s="178">
        <v>28.12</v>
      </c>
      <c r="K21" s="178">
        <v>40.36</v>
      </c>
      <c r="L21" s="176">
        <f t="shared" si="11"/>
        <v>56068.4825</v>
      </c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</row>
    <row r="22">
      <c r="A22" s="172">
        <v>20.0</v>
      </c>
      <c r="B22" s="173" t="s">
        <v>213</v>
      </c>
      <c r="C22" s="174">
        <v>0.4641</v>
      </c>
      <c r="D22" s="181">
        <v>149.44</v>
      </c>
      <c r="E22" s="181">
        <v>69.36</v>
      </c>
      <c r="F22" s="179">
        <f>IFERROR(__xludf.DUMMYFUNCTION("GOOGLEFINANCE(""AMZN"", ""price"")"),274.99)</f>
        <v>274.99</v>
      </c>
      <c r="G22" s="179">
        <f t="shared" si="1"/>
        <v>127.622859</v>
      </c>
      <c r="H22" s="179">
        <f t="shared" si="2"/>
        <v>58.262859</v>
      </c>
      <c r="I22" s="177">
        <f t="shared" si="3"/>
        <v>0.8400066176</v>
      </c>
      <c r="J22" s="178">
        <v>69.36</v>
      </c>
      <c r="K22" s="178">
        <v>103.58</v>
      </c>
      <c r="L22" s="176">
        <f t="shared" si="11"/>
        <v>143894.2869</v>
      </c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</row>
    <row r="23">
      <c r="A23" s="172">
        <v>21.0</v>
      </c>
      <c r="B23" s="173" t="s">
        <v>214</v>
      </c>
      <c r="C23" s="174">
        <v>0.45859500000000003</v>
      </c>
      <c r="D23" s="181">
        <v>507.6</v>
      </c>
      <c r="E23" s="181">
        <v>232.78</v>
      </c>
      <c r="F23" s="179">
        <f>IFERROR(__xludf.DUMMYFUNCTION("GOOGLEFINANCE(""TSLA"", ""price"")"),398.73)</f>
        <v>398.73</v>
      </c>
      <c r="G23" s="179">
        <f t="shared" si="1"/>
        <v>182.8555844</v>
      </c>
      <c r="H23" s="179">
        <f t="shared" si="2"/>
        <v>-49.92441565</v>
      </c>
      <c r="I23" s="177">
        <f t="shared" si="3"/>
        <v>-0.2144703826</v>
      </c>
      <c r="J23" s="178">
        <v>232.78</v>
      </c>
      <c r="K23" s="178">
        <v>147.52</v>
      </c>
      <c r="L23" s="176">
        <f t="shared" si="11"/>
        <v>204936.1382</v>
      </c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</row>
    <row r="24">
      <c r="A24" s="172">
        <v>22.0</v>
      </c>
      <c r="B24" s="173" t="s">
        <v>204</v>
      </c>
      <c r="C24" s="174">
        <v>1.02</v>
      </c>
      <c r="D24" s="181">
        <v>631.83</v>
      </c>
      <c r="E24" s="181">
        <v>644.47</v>
      </c>
      <c r="F24" s="179">
        <f>IFERROR(__xludf.DUMMYFUNCTION("GOOGLEFINANCE(""ASML"", ""price"")"),1544.74)</f>
        <v>1544.74</v>
      </c>
      <c r="G24" s="179">
        <f t="shared" si="1"/>
        <v>1575.6348</v>
      </c>
      <c r="H24" s="179">
        <f t="shared" si="2"/>
        <v>931.1648</v>
      </c>
      <c r="I24" s="177">
        <f t="shared" si="3"/>
        <v>1.444853601</v>
      </c>
      <c r="J24" s="178">
        <v>644.47</v>
      </c>
      <c r="K24" s="178">
        <v>769.54</v>
      </c>
      <c r="L24" s="176">
        <f t="shared" si="11"/>
        <v>1069052.032</v>
      </c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</row>
    <row r="25">
      <c r="A25" s="127">
        <v>23.0</v>
      </c>
      <c r="B25" s="109" t="s">
        <v>215</v>
      </c>
      <c r="C25" s="128">
        <v>3.0</v>
      </c>
      <c r="D25" s="133">
        <v>403.66</v>
      </c>
      <c r="E25" s="133">
        <v>1210.98</v>
      </c>
      <c r="F25" s="132">
        <f>IFERROR(__xludf.DUMMYFUNCTION("GOOGLEFINANCE(""IVV"", ""price"")"),737.41)</f>
        <v>737.41</v>
      </c>
      <c r="G25" s="132">
        <f t="shared" si="1"/>
        <v>2212.23</v>
      </c>
      <c r="H25" s="132">
        <f t="shared" si="2"/>
        <v>1001.25</v>
      </c>
      <c r="I25" s="130">
        <f t="shared" si="3"/>
        <v>0.8268096913</v>
      </c>
      <c r="J25" s="131">
        <v>1210.98</v>
      </c>
      <c r="K25" s="131">
        <v>1881.75</v>
      </c>
      <c r="L25" s="65">
        <f t="shared" si="11"/>
        <v>2614144.374</v>
      </c>
    </row>
    <row r="26">
      <c r="A26" s="127">
        <v>24.0</v>
      </c>
      <c r="B26" s="109" t="s">
        <v>17</v>
      </c>
      <c r="C26" s="128">
        <v>253.0</v>
      </c>
      <c r="D26" s="129">
        <v>17453.0</v>
      </c>
      <c r="E26" s="129">
        <v>4415540.0</v>
      </c>
      <c r="F26" s="65">
        <f>IFERROR(__xludf.DUMMYFUNCTION("GOOGLEFINANCE(""360750"", ""price"")"),26545.0)</f>
        <v>26545</v>
      </c>
      <c r="G26" s="65">
        <f t="shared" si="1"/>
        <v>6715885</v>
      </c>
      <c r="H26" s="65">
        <f t="shared" si="2"/>
        <v>2300345</v>
      </c>
      <c r="I26" s="130">
        <f t="shared" si="3"/>
        <v>0.5209657256</v>
      </c>
      <c r="J26" s="131">
        <v>3178.46</v>
      </c>
      <c r="K26" s="132">
        <f t="shared" ref="K26:K27" si="12">G26/1389.20918</f>
        <v>4834.322359</v>
      </c>
      <c r="L26" s="65">
        <f t="shared" ref="L26:L27" si="13">G26</f>
        <v>6715885</v>
      </c>
    </row>
    <row r="27">
      <c r="A27" s="127">
        <v>25.0</v>
      </c>
      <c r="B27" s="109" t="s">
        <v>6</v>
      </c>
      <c r="C27" s="128">
        <v>307.0</v>
      </c>
      <c r="D27" s="129">
        <v>15479.0</v>
      </c>
      <c r="E27" s="129">
        <v>4752040.0</v>
      </c>
      <c r="F27" s="65">
        <f>IFERROR(__xludf.DUMMYFUNCTION("GOOGLEFINANCE(""381180"", ""price"")"),43465.0)</f>
        <v>43465</v>
      </c>
      <c r="G27" s="65">
        <f t="shared" si="1"/>
        <v>13343755</v>
      </c>
      <c r="H27" s="65">
        <f t="shared" si="2"/>
        <v>8591715</v>
      </c>
      <c r="I27" s="130">
        <f t="shared" si="3"/>
        <v>1.808005614</v>
      </c>
      <c r="J27" s="131">
        <v>3420.68</v>
      </c>
      <c r="K27" s="132">
        <f t="shared" si="12"/>
        <v>9605.288528</v>
      </c>
      <c r="L27" s="65">
        <f t="shared" si="13"/>
        <v>13343755</v>
      </c>
    </row>
    <row r="28">
      <c r="A28" s="127">
        <v>26.0</v>
      </c>
      <c r="B28" s="109" t="s">
        <v>198</v>
      </c>
      <c r="C28" s="128">
        <v>61.46488899999999</v>
      </c>
      <c r="D28" s="133">
        <v>57.02</v>
      </c>
      <c r="E28" s="133">
        <v>3504.74</v>
      </c>
      <c r="F28" s="132">
        <f>IFERROR(__xludf.DUMMYFUNCTION("GOOGLEFINANCE(""O"", ""price"")"),64.01)</f>
        <v>64.01</v>
      </c>
      <c r="G28" s="132">
        <f t="shared" si="1"/>
        <v>3934.367545</v>
      </c>
      <c r="H28" s="132">
        <f t="shared" si="2"/>
        <v>429.6275449</v>
      </c>
      <c r="I28" s="130">
        <f t="shared" si="3"/>
        <v>0.1225847124</v>
      </c>
      <c r="J28" s="131">
        <v>3504.74</v>
      </c>
      <c r="K28" s="131">
        <v>3490.59</v>
      </c>
      <c r="L28" s="65">
        <f>K28*1389.20918</f>
        <v>4849159.672</v>
      </c>
    </row>
    <row r="29">
      <c r="A29" s="127">
        <v>27.0</v>
      </c>
      <c r="B29" s="109" t="s">
        <v>29</v>
      </c>
      <c r="C29" s="128">
        <v>150.0</v>
      </c>
      <c r="D29" s="129">
        <v>12294.0</v>
      </c>
      <c r="E29" s="129">
        <v>1844115.0</v>
      </c>
      <c r="F29" s="65">
        <f>IFERROR(__xludf.DUMMYFUNCTION("GOOGLEFINANCE(""305080"", ""price"")"),13150.0)</f>
        <v>13150</v>
      </c>
      <c r="G29" s="65">
        <f t="shared" si="1"/>
        <v>1972500</v>
      </c>
      <c r="H29" s="65">
        <f t="shared" si="2"/>
        <v>128385</v>
      </c>
      <c r="I29" s="130">
        <f t="shared" si="3"/>
        <v>0.06961876022</v>
      </c>
      <c r="J29" s="131">
        <v>1327.46</v>
      </c>
      <c r="K29" s="132">
        <f t="shared" ref="K29:K30" si="14">G29/1389.20918</f>
        <v>1419.872564</v>
      </c>
      <c r="L29" s="65">
        <f t="shared" ref="L29:L30" si="15">G29</f>
        <v>1972500</v>
      </c>
    </row>
    <row r="30">
      <c r="A30" s="127">
        <v>28.0</v>
      </c>
      <c r="B30" s="109" t="s">
        <v>34</v>
      </c>
      <c r="C30" s="128">
        <v>46.0</v>
      </c>
      <c r="D30" s="129">
        <v>13468.0</v>
      </c>
      <c r="E30" s="129">
        <v>619545.0</v>
      </c>
      <c r="F30" s="65">
        <f>IFERROR(__xludf.DUMMYFUNCTION("GOOGLEFINANCE(""278530"", ""price"")"),41750.0)</f>
        <v>41750</v>
      </c>
      <c r="G30" s="65">
        <f t="shared" si="1"/>
        <v>1920500</v>
      </c>
      <c r="H30" s="65">
        <f t="shared" si="2"/>
        <v>1300955</v>
      </c>
      <c r="I30" s="130">
        <f t="shared" si="3"/>
        <v>2.099855539</v>
      </c>
      <c r="J30" s="131">
        <v>445.97</v>
      </c>
      <c r="K30" s="132">
        <f t="shared" si="14"/>
        <v>1382.441196</v>
      </c>
      <c r="L30" s="65">
        <f t="shared" si="15"/>
        <v>1920500</v>
      </c>
    </row>
    <row r="31">
      <c r="A31" s="127">
        <v>29.0</v>
      </c>
      <c r="B31" s="109" t="s">
        <v>69</v>
      </c>
      <c r="C31" s="128">
        <v>5.0</v>
      </c>
      <c r="D31" s="133">
        <v>82.06</v>
      </c>
      <c r="E31" s="133">
        <v>410.3</v>
      </c>
      <c r="F31" s="132">
        <f>IFERROR(__xludf.DUMMYFUNCTION("GOOGLEFINANCE(""TSM"", ""price"")"),419.5)</f>
        <v>419.5</v>
      </c>
      <c r="G31" s="132">
        <f t="shared" si="1"/>
        <v>2097.5</v>
      </c>
      <c r="H31" s="132">
        <f t="shared" si="2"/>
        <v>1687.2</v>
      </c>
      <c r="I31" s="130">
        <f t="shared" si="3"/>
        <v>4.112113088</v>
      </c>
      <c r="J31" s="131">
        <v>410.3</v>
      </c>
      <c r="K31" s="131">
        <v>1187.8</v>
      </c>
      <c r="L31" s="65">
        <f t="shared" ref="L31:L32" si="16">K31*1389.20918</f>
        <v>1650102.664</v>
      </c>
    </row>
    <row r="32">
      <c r="A32" s="172">
        <v>30.0</v>
      </c>
      <c r="B32" s="173" t="s">
        <v>216</v>
      </c>
      <c r="C32" s="174">
        <v>8.0</v>
      </c>
      <c r="D32" s="181">
        <v>44.55</v>
      </c>
      <c r="E32" s="181">
        <v>356.4</v>
      </c>
      <c r="F32" s="179">
        <f>IFERROR(__xludf.DUMMYFUNCTION("GOOGLEFINANCE(""C"", ""price"")"),127.6)</f>
        <v>127.6</v>
      </c>
      <c r="G32" s="179">
        <f t="shared" si="1"/>
        <v>1020.8</v>
      </c>
      <c r="H32" s="179">
        <f t="shared" si="2"/>
        <v>664.4</v>
      </c>
      <c r="I32" s="177">
        <f t="shared" si="3"/>
        <v>1.864197531</v>
      </c>
      <c r="J32" s="178">
        <v>356.4</v>
      </c>
      <c r="K32" s="178">
        <v>720.16</v>
      </c>
      <c r="L32" s="176">
        <f t="shared" si="16"/>
        <v>1000452.883</v>
      </c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</row>
    <row r="33">
      <c r="A33" s="172">
        <v>31.0</v>
      </c>
      <c r="B33" s="173" t="s">
        <v>83</v>
      </c>
      <c r="C33" s="174">
        <v>8.0</v>
      </c>
      <c r="D33" s="175">
        <v>371250.0</v>
      </c>
      <c r="E33" s="175">
        <v>2970000.0</v>
      </c>
      <c r="F33" s="176">
        <f>IFERROR(__xludf.DUMMYFUNCTION("GOOGLEFINANCE(""005490"", ""price"")"),535000.0)</f>
        <v>535000</v>
      </c>
      <c r="G33" s="176">
        <f t="shared" si="1"/>
        <v>4280000</v>
      </c>
      <c r="H33" s="176">
        <f t="shared" si="2"/>
        <v>1310000</v>
      </c>
      <c r="I33" s="177">
        <f t="shared" si="3"/>
        <v>0.4410774411</v>
      </c>
      <c r="J33" s="178">
        <v>2137.91</v>
      </c>
      <c r="K33" s="179">
        <f t="shared" ref="K33:K34" si="17">G33/1389.20918</f>
        <v>3080.889517</v>
      </c>
      <c r="L33" s="176">
        <f t="shared" ref="L33:L34" si="18">G33</f>
        <v>4280000</v>
      </c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</row>
    <row r="34">
      <c r="A34" s="127">
        <v>32.0</v>
      </c>
      <c r="B34" s="109" t="s">
        <v>65</v>
      </c>
      <c r="C34" s="128">
        <v>15.0</v>
      </c>
      <c r="D34" s="129">
        <v>47533.0</v>
      </c>
      <c r="E34" s="129">
        <v>713000.0</v>
      </c>
      <c r="F34" s="65">
        <f>IFERROR(__xludf.DUMMYFUNCTION("GOOGLEFINANCE(""105560"", ""price"")"),161200.0)</f>
        <v>161200</v>
      </c>
      <c r="G34" s="65">
        <f t="shared" si="1"/>
        <v>2418000</v>
      </c>
      <c r="H34" s="65">
        <f t="shared" si="2"/>
        <v>1705000</v>
      </c>
      <c r="I34" s="130">
        <f t="shared" si="3"/>
        <v>2.391304348</v>
      </c>
      <c r="J34" s="131">
        <v>513.24</v>
      </c>
      <c r="K34" s="132">
        <f t="shared" si="17"/>
        <v>1740.55861</v>
      </c>
      <c r="L34" s="65">
        <f t="shared" si="18"/>
        <v>2418000</v>
      </c>
    </row>
    <row r="35">
      <c r="A35" s="127">
        <v>33.0</v>
      </c>
      <c r="B35" s="109" t="s">
        <v>217</v>
      </c>
      <c r="C35" s="128">
        <v>7.696917</v>
      </c>
      <c r="D35" s="133">
        <v>497.38</v>
      </c>
      <c r="E35" s="133">
        <v>3828.33</v>
      </c>
      <c r="F35" s="132">
        <f>IFERROR(__xludf.DUMMYFUNCTION("GOOGLEFINANCE(""VOO"", ""price"")"),674.66)</f>
        <v>674.66</v>
      </c>
      <c r="G35" s="132">
        <f t="shared" si="1"/>
        <v>5192.802023</v>
      </c>
      <c r="H35" s="132">
        <f t="shared" si="2"/>
        <v>1364.472023</v>
      </c>
      <c r="I35" s="130">
        <f t="shared" si="3"/>
        <v>0.3564144218</v>
      </c>
      <c r="J35" s="131">
        <v>3828.33</v>
      </c>
      <c r="K35" s="131">
        <v>4416.03</v>
      </c>
      <c r="L35" s="65">
        <f>K35*1389.20918</f>
        <v>6134789.415</v>
      </c>
    </row>
    <row r="36">
      <c r="A36" s="127">
        <v>34.0</v>
      </c>
      <c r="B36" s="109" t="s">
        <v>20</v>
      </c>
      <c r="C36" s="128">
        <v>168.0</v>
      </c>
      <c r="D36" s="129">
        <v>11648.0</v>
      </c>
      <c r="E36" s="129">
        <v>1956810.0</v>
      </c>
      <c r="F36" s="65">
        <f>IFERROR(__xludf.DUMMYFUNCTION("GOOGLEFINANCE(""458730"", ""price"")"),14620.0)</f>
        <v>14620</v>
      </c>
      <c r="G36" s="65">
        <f t="shared" si="1"/>
        <v>2456160</v>
      </c>
      <c r="H36" s="65">
        <f t="shared" si="2"/>
        <v>499350</v>
      </c>
      <c r="I36" s="130">
        <f t="shared" si="3"/>
        <v>0.255185736</v>
      </c>
      <c r="J36" s="131">
        <v>1408.58</v>
      </c>
      <c r="K36" s="132">
        <f t="shared" ref="K36:K42" si="19">G36/1389.20918</f>
        <v>1768.027476</v>
      </c>
      <c r="L36" s="65">
        <f t="shared" ref="L36:L42" si="20">G36</f>
        <v>2456160</v>
      </c>
    </row>
    <row r="37">
      <c r="A37" s="172">
        <v>35.0</v>
      </c>
      <c r="B37" s="173" t="s">
        <v>218</v>
      </c>
      <c r="C37" s="174">
        <v>22.0</v>
      </c>
      <c r="D37" s="175">
        <v>8826.0</v>
      </c>
      <c r="E37" s="175">
        <v>194170.0</v>
      </c>
      <c r="F37" s="176">
        <f>IFERROR(__xludf.DUMMYFUNCTION("GOOGLEFINANCE(""292560"", ""price"")"),8595.0)</f>
        <v>8595</v>
      </c>
      <c r="G37" s="176">
        <f t="shared" si="1"/>
        <v>189090</v>
      </c>
      <c r="H37" s="176">
        <f t="shared" si="2"/>
        <v>-5080</v>
      </c>
      <c r="I37" s="177">
        <f t="shared" si="3"/>
        <v>-0.02616264098</v>
      </c>
      <c r="J37" s="178">
        <v>139.77</v>
      </c>
      <c r="K37" s="179">
        <f t="shared" si="19"/>
        <v>136.1134109</v>
      </c>
      <c r="L37" s="176">
        <f t="shared" si="20"/>
        <v>189090</v>
      </c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</row>
    <row r="38">
      <c r="A38" s="127">
        <v>36.0</v>
      </c>
      <c r="B38" s="109" t="s">
        <v>26</v>
      </c>
      <c r="C38" s="128">
        <v>178.0</v>
      </c>
      <c r="D38" s="129">
        <v>17138.0</v>
      </c>
      <c r="E38" s="129">
        <v>3050615.0</v>
      </c>
      <c r="F38" s="65">
        <f>IFERROR(__xludf.DUMMYFUNCTION("GOOGLEFINANCE(""411060"", ""price"")"),30815.0)</f>
        <v>30815</v>
      </c>
      <c r="G38" s="65">
        <f t="shared" si="1"/>
        <v>5485070</v>
      </c>
      <c r="H38" s="65">
        <f t="shared" si="2"/>
        <v>2434455</v>
      </c>
      <c r="I38" s="130">
        <f t="shared" si="3"/>
        <v>0.7980210548</v>
      </c>
      <c r="J38" s="131">
        <v>2195.94</v>
      </c>
      <c r="K38" s="132">
        <f t="shared" si="19"/>
        <v>3948.339875</v>
      </c>
      <c r="L38" s="65">
        <f t="shared" si="20"/>
        <v>5485070</v>
      </c>
    </row>
    <row r="39">
      <c r="A39" s="127">
        <v>37.0</v>
      </c>
      <c r="B39" s="109" t="s">
        <v>219</v>
      </c>
      <c r="C39" s="128">
        <v>72.0</v>
      </c>
      <c r="D39" s="129">
        <v>24258.0</v>
      </c>
      <c r="E39" s="129">
        <v>1746565.0</v>
      </c>
      <c r="F39" s="65">
        <f>IFERROR(__xludf.DUMMYFUNCTION("GOOGLEFINANCE(""200250"", ""price"")"),22990.0)</f>
        <v>22990</v>
      </c>
      <c r="G39" s="65">
        <f t="shared" si="1"/>
        <v>1655280</v>
      </c>
      <c r="H39" s="65">
        <f t="shared" si="2"/>
        <v>-91285</v>
      </c>
      <c r="I39" s="130">
        <f t="shared" si="3"/>
        <v>-0.05226544675</v>
      </c>
      <c r="J39" s="131">
        <v>1257.24</v>
      </c>
      <c r="K39" s="132">
        <f t="shared" si="19"/>
        <v>1191.526822</v>
      </c>
      <c r="L39" s="65">
        <f t="shared" si="20"/>
        <v>1655280</v>
      </c>
    </row>
    <row r="40">
      <c r="A40" s="127">
        <v>38.0</v>
      </c>
      <c r="B40" s="109" t="s">
        <v>23</v>
      </c>
      <c r="C40" s="128">
        <v>166.0</v>
      </c>
      <c r="D40" s="129">
        <v>20473.0</v>
      </c>
      <c r="E40" s="129">
        <v>3398515.0</v>
      </c>
      <c r="F40" s="65">
        <f>IFERROR(__xludf.DUMMYFUNCTION("GOOGLEFINANCE(""367380"", ""price"")"),31645.0)</f>
        <v>31645</v>
      </c>
      <c r="G40" s="65">
        <f t="shared" si="1"/>
        <v>5253070</v>
      </c>
      <c r="H40" s="65">
        <f t="shared" si="2"/>
        <v>1854555</v>
      </c>
      <c r="I40" s="130">
        <f t="shared" si="3"/>
        <v>0.5456956936</v>
      </c>
      <c r="J40" s="131">
        <v>2446.37</v>
      </c>
      <c r="K40" s="132">
        <f t="shared" si="19"/>
        <v>3781.338387</v>
      </c>
      <c r="L40" s="65">
        <f t="shared" si="20"/>
        <v>5253070</v>
      </c>
    </row>
    <row r="41">
      <c r="A41" s="127">
        <v>39.0</v>
      </c>
      <c r="B41" s="109" t="s">
        <v>220</v>
      </c>
      <c r="C41" s="128">
        <v>107.0</v>
      </c>
      <c r="D41" s="129">
        <v>10940.0</v>
      </c>
      <c r="E41" s="129">
        <v>1170570.0</v>
      </c>
      <c r="F41" s="65">
        <f>IFERROR(__xludf.DUMMYFUNCTION("GOOGLEFINANCE(""446720"", ""price"")"),13400.0)</f>
        <v>13400</v>
      </c>
      <c r="G41" s="65">
        <f t="shared" si="1"/>
        <v>1433800</v>
      </c>
      <c r="H41" s="65">
        <f t="shared" si="2"/>
        <v>263230</v>
      </c>
      <c r="I41" s="130">
        <f t="shared" si="3"/>
        <v>0.2248733523</v>
      </c>
      <c r="J41" s="131">
        <v>842.62</v>
      </c>
      <c r="K41" s="132">
        <f t="shared" si="19"/>
        <v>1032.097988</v>
      </c>
      <c r="L41" s="65">
        <f t="shared" si="20"/>
        <v>1433800</v>
      </c>
    </row>
    <row r="42">
      <c r="A42" s="127">
        <v>40.0</v>
      </c>
      <c r="B42" s="109" t="s">
        <v>14</v>
      </c>
      <c r="C42" s="128">
        <v>201.0</v>
      </c>
      <c r="D42" s="129">
        <v>11329.0</v>
      </c>
      <c r="E42" s="129">
        <v>2277060.0</v>
      </c>
      <c r="F42" s="65">
        <f>IFERROR(__xludf.DUMMYFUNCTION("GOOGLEFINANCE(""456880"", ""price"")"),12630.0)</f>
        <v>12630</v>
      </c>
      <c r="G42" s="65">
        <f t="shared" si="1"/>
        <v>2538630</v>
      </c>
      <c r="H42" s="65">
        <f t="shared" si="2"/>
        <v>261570</v>
      </c>
      <c r="I42" s="130">
        <f t="shared" si="3"/>
        <v>0.1148718084</v>
      </c>
      <c r="J42" s="131">
        <v>1639.11</v>
      </c>
      <c r="K42" s="132">
        <f t="shared" si="19"/>
        <v>1827.392186</v>
      </c>
      <c r="L42" s="65">
        <f t="shared" si="20"/>
        <v>2538630</v>
      </c>
    </row>
    <row r="43">
      <c r="A43" s="127">
        <v>41.0</v>
      </c>
      <c r="B43" s="109" t="s">
        <v>50</v>
      </c>
      <c r="C43" s="128">
        <v>12.34346</v>
      </c>
      <c r="D43" s="133">
        <v>149.62</v>
      </c>
      <c r="E43" s="133">
        <v>1846.87</v>
      </c>
      <c r="F43" s="132">
        <f>IFERROR(__xludf.DUMMYFUNCTION("GOOGLEFINANCE(""XLV"", ""price"")"),145.4)</f>
        <v>145.4</v>
      </c>
      <c r="G43" s="132">
        <f t="shared" si="1"/>
        <v>1794.739084</v>
      </c>
      <c r="H43" s="132">
        <f t="shared" si="2"/>
        <v>-52.130916</v>
      </c>
      <c r="I43" s="130">
        <f t="shared" si="3"/>
        <v>-0.02822662992</v>
      </c>
      <c r="J43" s="131">
        <v>1846.87</v>
      </c>
      <c r="K43" s="131">
        <v>1657.11</v>
      </c>
      <c r="L43" s="65">
        <f t="shared" ref="L43:L44" si="21">K43*1389.20918</f>
        <v>2302072.424</v>
      </c>
    </row>
    <row r="44">
      <c r="A44" s="127">
        <v>42.0</v>
      </c>
      <c r="B44" s="109" t="s">
        <v>67</v>
      </c>
      <c r="C44" s="128">
        <v>2.0</v>
      </c>
      <c r="D44" s="133">
        <v>106.72</v>
      </c>
      <c r="E44" s="133">
        <v>213.44</v>
      </c>
      <c r="F44" s="132">
        <f>IFERROR(__xludf.DUMMYFUNCTION("GOOGLEFINANCE(""NVDA"", ""price"")"),207.83)</f>
        <v>207.83</v>
      </c>
      <c r="G44" s="132">
        <f t="shared" si="1"/>
        <v>415.66</v>
      </c>
      <c r="H44" s="132">
        <f t="shared" si="2"/>
        <v>202.22</v>
      </c>
      <c r="I44" s="130">
        <f t="shared" si="3"/>
        <v>0.9474325337</v>
      </c>
      <c r="J44" s="131">
        <v>213.44</v>
      </c>
      <c r="K44" s="131">
        <v>342.74</v>
      </c>
      <c r="L44" s="65">
        <f t="shared" si="21"/>
        <v>476137.5544</v>
      </c>
    </row>
    <row r="45">
      <c r="A45" s="127">
        <v>43.0</v>
      </c>
      <c r="B45" s="109" t="s">
        <v>53</v>
      </c>
      <c r="C45" s="128">
        <v>194.0</v>
      </c>
      <c r="D45" s="129">
        <v>14291.0</v>
      </c>
      <c r="E45" s="129">
        <v>2772525.0</v>
      </c>
      <c r="F45" s="65">
        <f>IFERROR(__xludf.DUMMYFUNCTION("GOOGLEFINANCE(""434060"", ""price"")"),18195.0)</f>
        <v>18195</v>
      </c>
      <c r="G45" s="65">
        <f t="shared" si="1"/>
        <v>3529830</v>
      </c>
      <c r="H45" s="65">
        <f t="shared" si="2"/>
        <v>757305</v>
      </c>
      <c r="I45" s="130">
        <f t="shared" si="3"/>
        <v>0.2731463197</v>
      </c>
      <c r="J45" s="131">
        <v>1995.76</v>
      </c>
      <c r="K45" s="132">
        <f t="shared" ref="K45:K48" si="22">G45/1389.20918</f>
        <v>2540.891646</v>
      </c>
      <c r="L45" s="65">
        <f t="shared" ref="L45:L48" si="23">G45</f>
        <v>3529830</v>
      </c>
    </row>
    <row r="46">
      <c r="A46" s="127">
        <v>44.0</v>
      </c>
      <c r="B46" s="109" t="s">
        <v>75</v>
      </c>
      <c r="C46" s="128">
        <v>13.0</v>
      </c>
      <c r="D46" s="129">
        <v>69654.0</v>
      </c>
      <c r="E46" s="129">
        <v>905500.0</v>
      </c>
      <c r="F46" s="65">
        <f>IFERROR(__xludf.DUMMYFUNCTION("GOOGLEFINANCE(""016360"", ""price"")"),146500.0)</f>
        <v>146500</v>
      </c>
      <c r="G46" s="65">
        <f t="shared" si="1"/>
        <v>1904500</v>
      </c>
      <c r="H46" s="65">
        <f t="shared" si="2"/>
        <v>999000</v>
      </c>
      <c r="I46" s="130">
        <f t="shared" si="3"/>
        <v>1.103257869</v>
      </c>
      <c r="J46" s="131">
        <v>651.81</v>
      </c>
      <c r="K46" s="132">
        <f t="shared" si="22"/>
        <v>1370.923852</v>
      </c>
      <c r="L46" s="65">
        <f t="shared" si="23"/>
        <v>1904500</v>
      </c>
    </row>
    <row r="47">
      <c r="A47" s="127">
        <v>45.0</v>
      </c>
      <c r="B47" s="109" t="s">
        <v>57</v>
      </c>
      <c r="C47" s="128">
        <v>20.0</v>
      </c>
      <c r="D47" s="129">
        <v>14895.0</v>
      </c>
      <c r="E47" s="129">
        <v>297900.0</v>
      </c>
      <c r="F47" s="65">
        <f>IFERROR(__xludf.DUMMYFUNCTION("GOOGLEFINANCE(""487230"", ""price"")"),27835.0)</f>
        <v>27835</v>
      </c>
      <c r="G47" s="65">
        <f t="shared" si="1"/>
        <v>556700</v>
      </c>
      <c r="H47" s="65">
        <f t="shared" si="2"/>
        <v>258800</v>
      </c>
      <c r="I47" s="130">
        <f t="shared" si="3"/>
        <v>0.868747902</v>
      </c>
      <c r="J47" s="131">
        <v>214.44</v>
      </c>
      <c r="K47" s="132">
        <f t="shared" si="22"/>
        <v>400.7315874</v>
      </c>
      <c r="L47" s="65">
        <f t="shared" si="23"/>
        <v>556700</v>
      </c>
    </row>
    <row r="48">
      <c r="A48" s="127">
        <v>46.0</v>
      </c>
      <c r="B48" s="109" t="s">
        <v>222</v>
      </c>
      <c r="C48" s="128">
        <v>10.0</v>
      </c>
      <c r="D48" s="129">
        <v>15690.0</v>
      </c>
      <c r="E48" s="129">
        <v>156900.0</v>
      </c>
      <c r="F48" s="65">
        <f>IFERROR(__xludf.DUMMYFUNCTION("GOOGLEFINANCE(""487240"", ""price"")"),62245.0)</f>
        <v>62245</v>
      </c>
      <c r="G48" s="65">
        <f t="shared" si="1"/>
        <v>622450</v>
      </c>
      <c r="H48" s="65">
        <f t="shared" si="2"/>
        <v>465550</v>
      </c>
      <c r="I48" s="130">
        <f t="shared" si="3"/>
        <v>2.967176546</v>
      </c>
      <c r="J48" s="131">
        <v>112.94</v>
      </c>
      <c r="K48" s="132">
        <f t="shared" si="22"/>
        <v>448.0606729</v>
      </c>
      <c r="L48" s="65">
        <f t="shared" si="23"/>
        <v>622450</v>
      </c>
    </row>
    <row r="49">
      <c r="B49" s="109" t="s">
        <v>129</v>
      </c>
      <c r="C49" s="133">
        <v>86203.07</v>
      </c>
    </row>
    <row r="50">
      <c r="B50" s="109" t="s">
        <v>138</v>
      </c>
      <c r="C50" s="133">
        <v>112139.42</v>
      </c>
    </row>
    <row r="51">
      <c r="B51" s="109" t="s">
        <v>139</v>
      </c>
      <c r="C51" s="133">
        <v>25936.35</v>
      </c>
    </row>
    <row r="52">
      <c r="B52" s="109" t="s">
        <v>140</v>
      </c>
      <c r="C52" s="135">
        <v>0.3009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</cols>
  <sheetData>
    <row r="1">
      <c r="B1" s="127">
        <v>1375.7450000000001</v>
      </c>
    </row>
    <row r="2">
      <c r="A2" s="109" t="s">
        <v>126</v>
      </c>
      <c r="B2" s="109" t="s">
        <v>1</v>
      </c>
      <c r="C2" s="109" t="s">
        <v>127</v>
      </c>
      <c r="D2" s="109" t="s">
        <v>128</v>
      </c>
      <c r="E2" s="109" t="s">
        <v>129</v>
      </c>
      <c r="F2" s="109" t="s">
        <v>130</v>
      </c>
      <c r="G2" s="109" t="s">
        <v>131</v>
      </c>
      <c r="H2" s="109" t="s">
        <v>132</v>
      </c>
      <c r="I2" s="109" t="s">
        <v>133</v>
      </c>
      <c r="J2" s="109" t="s">
        <v>134</v>
      </c>
      <c r="K2" s="109" t="s">
        <v>135</v>
      </c>
      <c r="L2" s="109" t="s">
        <v>136</v>
      </c>
    </row>
    <row r="3">
      <c r="A3" s="127">
        <v>1.0</v>
      </c>
      <c r="B3" s="109" t="s">
        <v>37</v>
      </c>
      <c r="C3" s="128">
        <v>133.0</v>
      </c>
      <c r="D3" s="129">
        <v>60281.0</v>
      </c>
      <c r="E3" s="129">
        <v>8017400.0</v>
      </c>
      <c r="F3" s="65">
        <f>IFERROR(__xludf.DUMMYFUNCTION("GOOGLEFINANCE(""005930"", ""price"")"),271000.0)</f>
        <v>271000</v>
      </c>
      <c r="G3" s="65">
        <f t="shared" ref="G3:G47" si="1">F3*C3</f>
        <v>36043000</v>
      </c>
      <c r="H3" s="65">
        <f t="shared" ref="H3:H47" si="2">G3-E3</f>
        <v>28025600</v>
      </c>
      <c r="I3" s="130">
        <f t="shared" ref="I3:I47" si="3">IF(E3&gt;0, H3/E3, 0)</f>
        <v>3.495597076</v>
      </c>
      <c r="J3" s="131">
        <v>5827.68</v>
      </c>
      <c r="K3" s="132">
        <f t="shared" ref="K3:K4" si="4">G3/1375.745</f>
        <v>26198.89587</v>
      </c>
      <c r="L3" s="65">
        <f t="shared" ref="L3:L4" si="5">G3</f>
        <v>36043000</v>
      </c>
    </row>
    <row r="4">
      <c r="A4" s="182">
        <v>2.0</v>
      </c>
      <c r="B4" s="93" t="s">
        <v>39</v>
      </c>
      <c r="C4" s="183">
        <v>34.0</v>
      </c>
      <c r="D4" s="184">
        <v>52668.0</v>
      </c>
      <c r="E4" s="184">
        <v>1790697.0</v>
      </c>
      <c r="F4" s="185">
        <f>IFERROR(__xludf.DUMMYFUNCTION("GOOGLEFINANCE(""005935"", ""price"")"),185250.0)</f>
        <v>185250</v>
      </c>
      <c r="G4" s="185">
        <f t="shared" si="1"/>
        <v>6298500</v>
      </c>
      <c r="H4" s="185">
        <f t="shared" si="2"/>
        <v>4507803</v>
      </c>
      <c r="I4" s="186">
        <f t="shared" si="3"/>
        <v>2.517345481</v>
      </c>
      <c r="J4" s="187">
        <v>1301.62</v>
      </c>
      <c r="K4" s="188">
        <f t="shared" si="4"/>
        <v>4578.246695</v>
      </c>
      <c r="L4" s="185">
        <f t="shared" si="5"/>
        <v>6298500</v>
      </c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182">
        <v>3.0</v>
      </c>
      <c r="B5" s="93" t="s">
        <v>186</v>
      </c>
      <c r="C5" s="183">
        <v>110.397405</v>
      </c>
      <c r="D5" s="189">
        <v>51.51</v>
      </c>
      <c r="E5" s="189">
        <v>5686.85</v>
      </c>
      <c r="F5" s="188">
        <f>IFERROR(__xludf.DUMMYFUNCTION("GOOGLEFINANCE(""KO"", ""price"")"),79.23)</f>
        <v>79.23</v>
      </c>
      <c r="G5" s="188">
        <f t="shared" si="1"/>
        <v>8746.786398</v>
      </c>
      <c r="H5" s="188">
        <f t="shared" si="2"/>
        <v>3059.936398</v>
      </c>
      <c r="I5" s="186">
        <f t="shared" si="3"/>
        <v>0.5380722893</v>
      </c>
      <c r="J5" s="187">
        <v>5686.85</v>
      </c>
      <c r="K5" s="187">
        <v>7713.47</v>
      </c>
      <c r="L5" s="185">
        <f>K5*1375.745</f>
        <v>10611767.79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127">
        <v>4.0</v>
      </c>
      <c r="B6" s="109" t="s">
        <v>208</v>
      </c>
      <c r="C6" s="128">
        <v>93.0</v>
      </c>
      <c r="D6" s="129">
        <v>67593.0</v>
      </c>
      <c r="E6" s="129">
        <v>6286120.0</v>
      </c>
      <c r="F6" s="65">
        <f>IFERROR(__xludf.DUMMYFUNCTION("GOOGLEFINANCE(""133690"", ""price"")"),184065.0)</f>
        <v>184065</v>
      </c>
      <c r="G6" s="65">
        <f t="shared" si="1"/>
        <v>17118045</v>
      </c>
      <c r="H6" s="65">
        <f t="shared" si="2"/>
        <v>10831925</v>
      </c>
      <c r="I6" s="130">
        <f t="shared" si="3"/>
        <v>1.723149574</v>
      </c>
      <c r="J6" s="131">
        <v>4569.25</v>
      </c>
      <c r="K6" s="132">
        <f>G6/1375.745</f>
        <v>12442.74557</v>
      </c>
      <c r="L6" s="65">
        <f>G6</f>
        <v>17118045</v>
      </c>
    </row>
    <row r="7">
      <c r="A7" s="182">
        <v>5.0</v>
      </c>
      <c r="B7" s="93" t="s">
        <v>71</v>
      </c>
      <c r="C7" s="183">
        <v>31.0</v>
      </c>
      <c r="D7" s="189">
        <v>95.3</v>
      </c>
      <c r="E7" s="189">
        <v>2954.44</v>
      </c>
      <c r="F7" s="188">
        <f>IFERROR(__xludf.DUMMYFUNCTION("GOOGLEFINANCE(""VYM"", ""price"")"),156.95)</f>
        <v>156.95</v>
      </c>
      <c r="G7" s="188">
        <f t="shared" si="1"/>
        <v>4865.45</v>
      </c>
      <c r="H7" s="188">
        <f t="shared" si="2"/>
        <v>1911.01</v>
      </c>
      <c r="I7" s="186">
        <f t="shared" si="3"/>
        <v>0.6468264713</v>
      </c>
      <c r="J7" s="187">
        <v>2954.44</v>
      </c>
      <c r="K7" s="187">
        <v>4181.9</v>
      </c>
      <c r="L7" s="185">
        <f>K7*1375.745</f>
        <v>5753228.016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127">
        <v>6.0</v>
      </c>
      <c r="B8" s="109" t="s">
        <v>209</v>
      </c>
      <c r="C8" s="128">
        <v>159.0</v>
      </c>
      <c r="D8" s="129">
        <v>16504.0</v>
      </c>
      <c r="E8" s="129">
        <v>2624070.0</v>
      </c>
      <c r="F8" s="65">
        <f>IFERROR(__xludf.DUMMYFUNCTION("GOOGLEFINANCE(""245340"", ""price"")"),35255.0)</f>
        <v>35255</v>
      </c>
      <c r="G8" s="65">
        <f t="shared" si="1"/>
        <v>5605545</v>
      </c>
      <c r="H8" s="65">
        <f t="shared" si="2"/>
        <v>2981475</v>
      </c>
      <c r="I8" s="130">
        <f t="shared" si="3"/>
        <v>1.13620254</v>
      </c>
      <c r="J8" s="131">
        <v>1907.38</v>
      </c>
      <c r="K8" s="132">
        <f>G8/1375.745</f>
        <v>4074.552333</v>
      </c>
      <c r="L8" s="65">
        <f>G8</f>
        <v>5605545</v>
      </c>
    </row>
    <row r="9">
      <c r="A9" s="127">
        <v>7.0</v>
      </c>
      <c r="B9" s="109" t="s">
        <v>79</v>
      </c>
      <c r="C9" s="128">
        <v>23.637130000000003</v>
      </c>
      <c r="D9" s="133">
        <v>143.97</v>
      </c>
      <c r="E9" s="133">
        <v>3403.14</v>
      </c>
      <c r="F9" s="132">
        <f>IFERROR(__xludf.DUMMYFUNCTION("GOOGLEFINANCE(""AAPL"", ""price"")"),287.51)</f>
        <v>287.51</v>
      </c>
      <c r="G9" s="132">
        <f t="shared" si="1"/>
        <v>6795.911246</v>
      </c>
      <c r="H9" s="132">
        <f t="shared" si="2"/>
        <v>3392.771246</v>
      </c>
      <c r="I9" s="130">
        <f t="shared" si="3"/>
        <v>0.9969531804</v>
      </c>
      <c r="J9" s="131">
        <v>3403.14</v>
      </c>
      <c r="K9" s="131">
        <v>4991.22</v>
      </c>
      <c r="L9" s="65">
        <f>K9*1375.745</f>
        <v>6866645.959</v>
      </c>
    </row>
    <row r="10">
      <c r="A10" s="182">
        <v>8.0</v>
      </c>
      <c r="B10" s="93" t="s">
        <v>81</v>
      </c>
      <c r="C10" s="183">
        <v>98.0</v>
      </c>
      <c r="D10" s="184">
        <v>17921.0</v>
      </c>
      <c r="E10" s="184">
        <v>1756305.0</v>
      </c>
      <c r="F10" s="185">
        <f>IFERROR(__xludf.DUMMYFUNCTION("GOOGLEFINANCE(""157490"", ""price"")"),9080.0)</f>
        <v>9080</v>
      </c>
      <c r="G10" s="185">
        <f t="shared" si="1"/>
        <v>889840</v>
      </c>
      <c r="H10" s="185">
        <f t="shared" si="2"/>
        <v>-866465</v>
      </c>
      <c r="I10" s="186">
        <f t="shared" si="3"/>
        <v>-0.4933454041</v>
      </c>
      <c r="J10" s="187">
        <v>1276.62</v>
      </c>
      <c r="K10" s="188">
        <f t="shared" ref="K10:K11" si="6">G10/1375.745</f>
        <v>646.8059124</v>
      </c>
      <c r="L10" s="185">
        <f t="shared" ref="L10:L11" si="7">G10</f>
        <v>889840</v>
      </c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182">
        <v>9.0</v>
      </c>
      <c r="B11" s="93" t="s">
        <v>90</v>
      </c>
      <c r="C11" s="183">
        <v>3.0</v>
      </c>
      <c r="D11" s="184">
        <v>177500.0</v>
      </c>
      <c r="E11" s="184">
        <v>532500.0</v>
      </c>
      <c r="F11" s="185">
        <f>IFERROR(__xludf.DUMMYFUNCTION("GOOGLEFINANCE(""139480"", ""price"")"),108100.0)</f>
        <v>108100</v>
      </c>
      <c r="G11" s="185">
        <f t="shared" si="1"/>
        <v>324300</v>
      </c>
      <c r="H11" s="185">
        <f t="shared" si="2"/>
        <v>-208200</v>
      </c>
      <c r="I11" s="186">
        <f t="shared" si="3"/>
        <v>-0.3909859155</v>
      </c>
      <c r="J11" s="187">
        <v>387.06</v>
      </c>
      <c r="K11" s="188">
        <f t="shared" si="6"/>
        <v>235.7268244</v>
      </c>
      <c r="L11" s="185">
        <f t="shared" si="7"/>
        <v>324300</v>
      </c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182">
        <v>10.0</v>
      </c>
      <c r="B12" s="93" t="s">
        <v>199</v>
      </c>
      <c r="C12" s="183">
        <v>83.032213</v>
      </c>
      <c r="D12" s="189">
        <v>38.17</v>
      </c>
      <c r="E12" s="189">
        <v>3169.23</v>
      </c>
      <c r="F12" s="188">
        <f>IFERROR(__xludf.DUMMYFUNCTION("GOOGLEFINANCE(""PFE"", ""price"")"),26.53)</f>
        <v>26.53</v>
      </c>
      <c r="G12" s="188">
        <f t="shared" si="1"/>
        <v>2202.844611</v>
      </c>
      <c r="H12" s="188">
        <f t="shared" si="2"/>
        <v>-966.3853891</v>
      </c>
      <c r="I12" s="186">
        <f t="shared" si="3"/>
        <v>-0.3049275026</v>
      </c>
      <c r="J12" s="187">
        <v>3169.23</v>
      </c>
      <c r="K12" s="187">
        <v>2129.78</v>
      </c>
      <c r="L12" s="185">
        <f t="shared" ref="L12:L14" si="8">K12*1375.745</f>
        <v>2930034.186</v>
      </c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182">
        <v>11.0</v>
      </c>
      <c r="B13" s="93" t="s">
        <v>11</v>
      </c>
      <c r="C13" s="183">
        <v>45.310446</v>
      </c>
      <c r="D13" s="189">
        <v>170.39</v>
      </c>
      <c r="E13" s="189">
        <v>7720.36</v>
      </c>
      <c r="F13" s="188">
        <f>IFERROR(__xludf.DUMMYFUNCTION("GOOGLEFINANCE(""SMH"", ""price"")"),549.76)</f>
        <v>549.76</v>
      </c>
      <c r="G13" s="188">
        <f t="shared" si="1"/>
        <v>24909.87079</v>
      </c>
      <c r="H13" s="188">
        <f t="shared" si="2"/>
        <v>17189.51079</v>
      </c>
      <c r="I13" s="186">
        <f t="shared" si="3"/>
        <v>2.226516742</v>
      </c>
      <c r="J13" s="187">
        <v>7720.36</v>
      </c>
      <c r="K13" s="187">
        <v>13026.3</v>
      </c>
      <c r="L13" s="185">
        <f t="shared" si="8"/>
        <v>17920867.09</v>
      </c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182">
        <v>12.0</v>
      </c>
      <c r="B14" s="93" t="s">
        <v>210</v>
      </c>
      <c r="C14" s="183">
        <v>2.0</v>
      </c>
      <c r="D14" s="189">
        <v>132.77</v>
      </c>
      <c r="E14" s="189">
        <v>265.54</v>
      </c>
      <c r="F14" s="188">
        <f>IFERROR(__xludf.DUMMYFUNCTION("GOOGLEFINANCE(""NKE"", ""price"")"),43.88)</f>
        <v>43.88</v>
      </c>
      <c r="G14" s="188">
        <f t="shared" si="1"/>
        <v>87.76</v>
      </c>
      <c r="H14" s="188">
        <f t="shared" si="2"/>
        <v>-177.78</v>
      </c>
      <c r="I14" s="186">
        <f t="shared" si="3"/>
        <v>-0.6695036529</v>
      </c>
      <c r="J14" s="187">
        <v>265.54</v>
      </c>
      <c r="K14" s="187">
        <v>145.26</v>
      </c>
      <c r="L14" s="185">
        <f t="shared" si="8"/>
        <v>199840.7187</v>
      </c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182">
        <v>13.0</v>
      </c>
      <c r="B15" s="93" t="s">
        <v>177</v>
      </c>
      <c r="C15" s="183">
        <v>5.0</v>
      </c>
      <c r="D15" s="184">
        <v>239200.0</v>
      </c>
      <c r="E15" s="184">
        <v>1196000.0</v>
      </c>
      <c r="F15" s="185">
        <f>IFERROR(__xludf.DUMMYFUNCTION("GOOGLEFINANCE(""034730"", ""price"")"),544000.0)</f>
        <v>544000</v>
      </c>
      <c r="G15" s="185">
        <f t="shared" si="1"/>
        <v>2720000</v>
      </c>
      <c r="H15" s="185">
        <f t="shared" si="2"/>
        <v>1524000</v>
      </c>
      <c r="I15" s="186">
        <f t="shared" si="3"/>
        <v>1.274247492</v>
      </c>
      <c r="J15" s="187">
        <v>869.35</v>
      </c>
      <c r="K15" s="188">
        <f t="shared" ref="K15:K16" si="9">G15/1375.745</f>
        <v>1977.110584</v>
      </c>
      <c r="L15" s="185">
        <f t="shared" ref="L15:L16" si="10">G15</f>
        <v>2720000</v>
      </c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182">
        <v>14.0</v>
      </c>
      <c r="B16" s="93" t="s">
        <v>32</v>
      </c>
      <c r="C16" s="183">
        <v>202.0</v>
      </c>
      <c r="D16" s="184">
        <v>11523.0</v>
      </c>
      <c r="E16" s="184">
        <v>2327720.0</v>
      </c>
      <c r="F16" s="185">
        <f>IFERROR(__xludf.DUMMYFUNCTION("GOOGLEFINANCE(""379800"", ""price"")"),24205.0)</f>
        <v>24205</v>
      </c>
      <c r="G16" s="185">
        <f t="shared" si="1"/>
        <v>4889410</v>
      </c>
      <c r="H16" s="185">
        <f t="shared" si="2"/>
        <v>2561690</v>
      </c>
      <c r="I16" s="186">
        <f t="shared" si="3"/>
        <v>1.100514667</v>
      </c>
      <c r="J16" s="187">
        <v>1691.97</v>
      </c>
      <c r="K16" s="188">
        <f t="shared" si="9"/>
        <v>3554.008919</v>
      </c>
      <c r="L16" s="185">
        <f t="shared" si="10"/>
        <v>4889410</v>
      </c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182">
        <v>15.0</v>
      </c>
      <c r="B17" s="93" t="s">
        <v>203</v>
      </c>
      <c r="C17" s="183">
        <v>7.0</v>
      </c>
      <c r="D17" s="189">
        <v>445.47</v>
      </c>
      <c r="E17" s="189">
        <v>3118.28</v>
      </c>
      <c r="F17" s="188">
        <f>IFERROR(__xludf.DUMMYFUNCTION("GOOGLEFINANCE(""SPY"", ""price"")"),733.83)</f>
        <v>733.83</v>
      </c>
      <c r="G17" s="188">
        <f t="shared" si="1"/>
        <v>5136.81</v>
      </c>
      <c r="H17" s="188">
        <f t="shared" si="2"/>
        <v>2018.53</v>
      </c>
      <c r="I17" s="186">
        <f t="shared" si="3"/>
        <v>0.6473216004</v>
      </c>
      <c r="J17" s="187">
        <v>3118.28</v>
      </c>
      <c r="K17" s="187">
        <v>4365.34</v>
      </c>
      <c r="L17" s="185">
        <f t="shared" ref="L17:L25" si="11">K17*1375.745</f>
        <v>6005594.678</v>
      </c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127">
        <v>16.0</v>
      </c>
      <c r="B18" s="109" t="s">
        <v>200</v>
      </c>
      <c r="C18" s="128">
        <v>13.937922</v>
      </c>
      <c r="D18" s="133">
        <v>344.73</v>
      </c>
      <c r="E18" s="133">
        <v>4804.81</v>
      </c>
      <c r="F18" s="132">
        <f>IFERROR(__xludf.DUMMYFUNCTION("GOOGLEFINANCE(""MSFT"", ""price"")"),413.96)</f>
        <v>413.96</v>
      </c>
      <c r="G18" s="132">
        <f t="shared" si="1"/>
        <v>5769.742191</v>
      </c>
      <c r="H18" s="132">
        <f t="shared" si="2"/>
        <v>964.9321911</v>
      </c>
      <c r="I18" s="130">
        <f t="shared" si="3"/>
        <v>0.2008262951</v>
      </c>
      <c r="J18" s="131">
        <v>4804.81</v>
      </c>
      <c r="K18" s="131">
        <v>7015.23</v>
      </c>
      <c r="L18" s="65">
        <f t="shared" si="11"/>
        <v>9651167.596</v>
      </c>
    </row>
    <row r="19">
      <c r="A19" s="127">
        <v>17.0</v>
      </c>
      <c r="B19" s="109" t="s">
        <v>211</v>
      </c>
      <c r="C19" s="128">
        <v>1.188598</v>
      </c>
      <c r="D19" s="133">
        <v>345.98</v>
      </c>
      <c r="E19" s="133">
        <v>411.24</v>
      </c>
      <c r="F19" s="132">
        <f>IFERROR(__xludf.DUMMYFUNCTION("GOOGLEFINANCE(""BRK.B"", ""price"")"),469.83)</f>
        <v>469.83</v>
      </c>
      <c r="G19" s="132">
        <f t="shared" si="1"/>
        <v>558.4389983</v>
      </c>
      <c r="H19" s="132">
        <f t="shared" si="2"/>
        <v>147.1989983</v>
      </c>
      <c r="I19" s="130">
        <f t="shared" si="3"/>
        <v>0.3579393987</v>
      </c>
      <c r="J19" s="131">
        <v>411.24</v>
      </c>
      <c r="K19" s="131">
        <v>565.61</v>
      </c>
      <c r="L19" s="65">
        <f t="shared" si="11"/>
        <v>778135.1295</v>
      </c>
    </row>
    <row r="20">
      <c r="A20" s="182">
        <v>18.0</v>
      </c>
      <c r="B20" s="93" t="s">
        <v>212</v>
      </c>
      <c r="C20" s="183">
        <v>3.0</v>
      </c>
      <c r="D20" s="189">
        <v>150.75</v>
      </c>
      <c r="E20" s="189">
        <v>452.26</v>
      </c>
      <c r="F20" s="188">
        <f>IFERROR(__xludf.DUMMYFUNCTION("GOOGLEFINANCE(""SOXX"", ""price"")"),506.87)</f>
        <v>506.87</v>
      </c>
      <c r="G20" s="188">
        <f t="shared" si="1"/>
        <v>1520.61</v>
      </c>
      <c r="H20" s="188">
        <f t="shared" si="2"/>
        <v>1068.35</v>
      </c>
      <c r="I20" s="186">
        <f t="shared" si="3"/>
        <v>2.36224738</v>
      </c>
      <c r="J20" s="187">
        <v>452.26</v>
      </c>
      <c r="K20" s="187">
        <v>738.51</v>
      </c>
      <c r="L20" s="185">
        <f t="shared" si="11"/>
        <v>1016001.44</v>
      </c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>
      <c r="A21" s="182">
        <v>19.0</v>
      </c>
      <c r="B21" s="93" t="s">
        <v>197</v>
      </c>
      <c r="C21" s="183">
        <v>0.22056</v>
      </c>
      <c r="D21" s="189">
        <v>127.48</v>
      </c>
      <c r="E21" s="189">
        <v>28.12</v>
      </c>
      <c r="F21" s="188">
        <f>IFERROR(__xludf.DUMMYFUNCTION("GOOGLEFINANCE(""GOOGL"", ""price"")"),398.04)</f>
        <v>398.04</v>
      </c>
      <c r="G21" s="188">
        <f t="shared" si="1"/>
        <v>87.7917024</v>
      </c>
      <c r="H21" s="188">
        <f t="shared" si="2"/>
        <v>59.6717024</v>
      </c>
      <c r="I21" s="186">
        <f t="shared" si="3"/>
        <v>2.122037781</v>
      </c>
      <c r="J21" s="187">
        <v>28.12</v>
      </c>
      <c r="K21" s="187">
        <v>39.74</v>
      </c>
      <c r="L21" s="185">
        <f t="shared" si="11"/>
        <v>54672.1063</v>
      </c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182">
        <v>20.0</v>
      </c>
      <c r="B22" s="93" t="s">
        <v>213</v>
      </c>
      <c r="C22" s="183">
        <v>0.4641</v>
      </c>
      <c r="D22" s="189">
        <v>149.44</v>
      </c>
      <c r="E22" s="189">
        <v>69.36</v>
      </c>
      <c r="F22" s="188">
        <f>IFERROR(__xludf.DUMMYFUNCTION("GOOGLEFINANCE(""AMZN"", ""price"")"),274.99)</f>
        <v>274.99</v>
      </c>
      <c r="G22" s="188">
        <f t="shared" si="1"/>
        <v>127.622859</v>
      </c>
      <c r="H22" s="188">
        <f t="shared" si="2"/>
        <v>58.262859</v>
      </c>
      <c r="I22" s="186">
        <f t="shared" si="3"/>
        <v>0.8400066176</v>
      </c>
      <c r="J22" s="187">
        <v>69.36</v>
      </c>
      <c r="K22" s="187">
        <v>104.43</v>
      </c>
      <c r="L22" s="185">
        <f t="shared" si="11"/>
        <v>143669.0504</v>
      </c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>
      <c r="A23" s="182">
        <v>21.0</v>
      </c>
      <c r="B23" s="93" t="s">
        <v>214</v>
      </c>
      <c r="C23" s="183">
        <v>0.45859500000000003</v>
      </c>
      <c r="D23" s="189">
        <v>507.6</v>
      </c>
      <c r="E23" s="189">
        <v>232.78</v>
      </c>
      <c r="F23" s="188">
        <f>IFERROR(__xludf.DUMMYFUNCTION("GOOGLEFINANCE(""TSLA"", ""price"")"),398.73)</f>
        <v>398.73</v>
      </c>
      <c r="G23" s="188">
        <f t="shared" si="1"/>
        <v>182.8555844</v>
      </c>
      <c r="H23" s="188">
        <f t="shared" si="2"/>
        <v>-49.92441565</v>
      </c>
      <c r="I23" s="186">
        <f t="shared" si="3"/>
        <v>-0.2144703826</v>
      </c>
      <c r="J23" s="187">
        <v>232.78</v>
      </c>
      <c r="K23" s="187">
        <v>143.77</v>
      </c>
      <c r="L23" s="185">
        <f t="shared" si="11"/>
        <v>197790.8587</v>
      </c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182">
        <v>22.0</v>
      </c>
      <c r="B24" s="93" t="s">
        <v>204</v>
      </c>
      <c r="C24" s="183">
        <v>1.02</v>
      </c>
      <c r="D24" s="189">
        <v>631.83</v>
      </c>
      <c r="E24" s="189">
        <v>644.47</v>
      </c>
      <c r="F24" s="188">
        <f>IFERROR(__xludf.DUMMYFUNCTION("GOOGLEFINANCE(""ASML"", ""price"")"),1544.74)</f>
        <v>1544.74</v>
      </c>
      <c r="G24" s="188">
        <f t="shared" si="1"/>
        <v>1575.6348</v>
      </c>
      <c r="H24" s="188">
        <f t="shared" si="2"/>
        <v>931.1648</v>
      </c>
      <c r="I24" s="186">
        <f t="shared" si="3"/>
        <v>1.444853601</v>
      </c>
      <c r="J24" s="187">
        <v>644.47</v>
      </c>
      <c r="K24" s="187">
        <v>817.97</v>
      </c>
      <c r="L24" s="185">
        <f t="shared" si="11"/>
        <v>1125318.138</v>
      </c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>
      <c r="A25" s="182">
        <v>23.0</v>
      </c>
      <c r="B25" s="93" t="s">
        <v>215</v>
      </c>
      <c r="C25" s="183">
        <v>3.0</v>
      </c>
      <c r="D25" s="189">
        <v>403.66</v>
      </c>
      <c r="E25" s="189">
        <v>1210.98</v>
      </c>
      <c r="F25" s="188">
        <f>IFERROR(__xludf.DUMMYFUNCTION("GOOGLEFINANCE(""IVV"", ""price"")"),737.41)</f>
        <v>737.41</v>
      </c>
      <c r="G25" s="188">
        <f t="shared" si="1"/>
        <v>2212.23</v>
      </c>
      <c r="H25" s="188">
        <f t="shared" si="2"/>
        <v>1001.25</v>
      </c>
      <c r="I25" s="186">
        <f t="shared" si="3"/>
        <v>0.8268096913</v>
      </c>
      <c r="J25" s="187">
        <v>1210.98</v>
      </c>
      <c r="K25" s="187">
        <v>1879.32</v>
      </c>
      <c r="L25" s="185">
        <f t="shared" si="11"/>
        <v>2585465.093</v>
      </c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182">
        <v>24.0</v>
      </c>
      <c r="B26" s="93" t="s">
        <v>17</v>
      </c>
      <c r="C26" s="183">
        <v>248.0</v>
      </c>
      <c r="D26" s="184">
        <v>17371.0</v>
      </c>
      <c r="E26" s="184">
        <v>4308090.0</v>
      </c>
      <c r="F26" s="185">
        <f>IFERROR(__xludf.DUMMYFUNCTION("GOOGLEFINANCE(""360750"", ""price"")"),26545.0)</f>
        <v>26545</v>
      </c>
      <c r="G26" s="185">
        <f t="shared" si="1"/>
        <v>6583160</v>
      </c>
      <c r="H26" s="185">
        <f t="shared" si="2"/>
        <v>2275070</v>
      </c>
      <c r="I26" s="186">
        <f t="shared" si="3"/>
        <v>0.5280924957</v>
      </c>
      <c r="J26" s="187">
        <v>3131.46</v>
      </c>
      <c r="K26" s="188">
        <f t="shared" ref="K26:K27" si="12">G26/1375.745</f>
        <v>4785.160041</v>
      </c>
      <c r="L26" s="185">
        <f t="shared" ref="L26:L27" si="13">G26</f>
        <v>6583160</v>
      </c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>
      <c r="A27" s="182">
        <v>25.0</v>
      </c>
      <c r="B27" s="93" t="s">
        <v>6</v>
      </c>
      <c r="C27" s="183">
        <v>299.0</v>
      </c>
      <c r="D27" s="184">
        <v>15336.0</v>
      </c>
      <c r="E27" s="184">
        <v>4585610.0</v>
      </c>
      <c r="F27" s="185">
        <f>IFERROR(__xludf.DUMMYFUNCTION("GOOGLEFINANCE(""381180"", ""price"")"),43465.0)</f>
        <v>43465</v>
      </c>
      <c r="G27" s="185">
        <f t="shared" si="1"/>
        <v>12996035</v>
      </c>
      <c r="H27" s="185">
        <f t="shared" si="2"/>
        <v>8410425</v>
      </c>
      <c r="I27" s="186">
        <f t="shared" si="3"/>
        <v>1.834090775</v>
      </c>
      <c r="J27" s="187">
        <v>3333.18</v>
      </c>
      <c r="K27" s="188">
        <f t="shared" si="12"/>
        <v>9446.543509</v>
      </c>
      <c r="L27" s="185">
        <f t="shared" si="13"/>
        <v>12996035</v>
      </c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>
      <c r="A28" s="127">
        <v>26.0</v>
      </c>
      <c r="B28" s="109" t="s">
        <v>198</v>
      </c>
      <c r="C28" s="128">
        <v>61.46488899999999</v>
      </c>
      <c r="D28" s="133">
        <v>57.02</v>
      </c>
      <c r="E28" s="133">
        <v>3504.74</v>
      </c>
      <c r="F28" s="132">
        <f>IFERROR(__xludf.DUMMYFUNCTION("GOOGLEFINANCE(""O"", ""price"")"),64.01)</f>
        <v>64.01</v>
      </c>
      <c r="G28" s="132">
        <f t="shared" si="1"/>
        <v>3934.367545</v>
      </c>
      <c r="H28" s="132">
        <f t="shared" si="2"/>
        <v>429.6275449</v>
      </c>
      <c r="I28" s="130">
        <f t="shared" si="3"/>
        <v>0.1225847124</v>
      </c>
      <c r="J28" s="131">
        <v>3504.74</v>
      </c>
      <c r="K28" s="131">
        <v>3513.33</v>
      </c>
      <c r="L28" s="65">
        <f>K28*1375.745</f>
        <v>4833446.181</v>
      </c>
    </row>
    <row r="29">
      <c r="A29" s="182">
        <v>27.0</v>
      </c>
      <c r="B29" s="93" t="s">
        <v>29</v>
      </c>
      <c r="C29" s="183">
        <v>150.0</v>
      </c>
      <c r="D29" s="184">
        <v>12294.0</v>
      </c>
      <c r="E29" s="184">
        <v>1844115.0</v>
      </c>
      <c r="F29" s="185">
        <f>IFERROR(__xludf.DUMMYFUNCTION("GOOGLEFINANCE(""305080"", ""price"")"),13150.0)</f>
        <v>13150</v>
      </c>
      <c r="G29" s="185">
        <f t="shared" si="1"/>
        <v>1972500</v>
      </c>
      <c r="H29" s="185">
        <f t="shared" si="2"/>
        <v>128385</v>
      </c>
      <c r="I29" s="186">
        <f t="shared" si="3"/>
        <v>0.06961876022</v>
      </c>
      <c r="J29" s="187">
        <v>1340.45</v>
      </c>
      <c r="K29" s="188">
        <f t="shared" ref="K29:K30" si="14">G29/1375.745</f>
        <v>1433.768613</v>
      </c>
      <c r="L29" s="185">
        <f t="shared" ref="L29:L30" si="15">G29</f>
        <v>1972500</v>
      </c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182">
        <v>28.0</v>
      </c>
      <c r="B30" s="93" t="s">
        <v>34</v>
      </c>
      <c r="C30" s="183">
        <v>31.0</v>
      </c>
      <c r="D30" s="184">
        <v>12522.0</v>
      </c>
      <c r="E30" s="184">
        <v>388195.0</v>
      </c>
      <c r="F30" s="185">
        <f>IFERROR(__xludf.DUMMYFUNCTION("GOOGLEFINANCE(""278530"", ""price"")"),41750.0)</f>
        <v>41750</v>
      </c>
      <c r="G30" s="185">
        <f t="shared" si="1"/>
        <v>1294250</v>
      </c>
      <c r="H30" s="185">
        <f t="shared" si="2"/>
        <v>906055</v>
      </c>
      <c r="I30" s="186">
        <f t="shared" si="3"/>
        <v>2.334020273</v>
      </c>
      <c r="J30" s="187">
        <v>282.17</v>
      </c>
      <c r="K30" s="188">
        <f t="shared" si="14"/>
        <v>940.7630048</v>
      </c>
      <c r="L30" s="185">
        <f t="shared" si="15"/>
        <v>1294250</v>
      </c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>
      <c r="A31" s="182">
        <v>29.0</v>
      </c>
      <c r="B31" s="93" t="s">
        <v>69</v>
      </c>
      <c r="C31" s="183">
        <v>5.0</v>
      </c>
      <c r="D31" s="189">
        <v>82.06</v>
      </c>
      <c r="E31" s="189">
        <v>410.3</v>
      </c>
      <c r="F31" s="188">
        <f>IFERROR(__xludf.DUMMYFUNCTION("GOOGLEFINANCE(""TSM"", ""price"")"),419.5)</f>
        <v>419.5</v>
      </c>
      <c r="G31" s="188">
        <f t="shared" si="1"/>
        <v>2097.5</v>
      </c>
      <c r="H31" s="188">
        <f t="shared" si="2"/>
        <v>1687.2</v>
      </c>
      <c r="I31" s="186">
        <f t="shared" si="3"/>
        <v>4.112113088</v>
      </c>
      <c r="J31" s="187">
        <v>410.3</v>
      </c>
      <c r="K31" s="187">
        <v>1152.0</v>
      </c>
      <c r="L31" s="185">
        <f t="shared" ref="L31:L32" si="16">K31*1375.745</f>
        <v>1584858.24</v>
      </c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182">
        <v>30.0</v>
      </c>
      <c r="B32" s="93" t="s">
        <v>216</v>
      </c>
      <c r="C32" s="183">
        <v>8.0</v>
      </c>
      <c r="D32" s="189">
        <v>44.55</v>
      </c>
      <c r="E32" s="189">
        <v>356.4</v>
      </c>
      <c r="F32" s="188">
        <f>IFERROR(__xludf.DUMMYFUNCTION("GOOGLEFINANCE(""C"", ""price"")"),127.6)</f>
        <v>127.6</v>
      </c>
      <c r="G32" s="188">
        <f t="shared" si="1"/>
        <v>1020.8</v>
      </c>
      <c r="H32" s="188">
        <f t="shared" si="2"/>
        <v>664.4</v>
      </c>
      <c r="I32" s="186">
        <f t="shared" si="3"/>
        <v>1.864197531</v>
      </c>
      <c r="J32" s="187">
        <v>356.4</v>
      </c>
      <c r="K32" s="187">
        <v>693.84</v>
      </c>
      <c r="L32" s="185">
        <f t="shared" si="16"/>
        <v>954546.9108</v>
      </c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182">
        <v>31.0</v>
      </c>
      <c r="B33" s="93" t="s">
        <v>83</v>
      </c>
      <c r="C33" s="183">
        <v>8.0</v>
      </c>
      <c r="D33" s="184">
        <v>371250.0</v>
      </c>
      <c r="E33" s="184">
        <v>2970000.0</v>
      </c>
      <c r="F33" s="185">
        <f>IFERROR(__xludf.DUMMYFUNCTION("GOOGLEFINANCE(""005490"", ""price"")"),535000.0)</f>
        <v>535000</v>
      </c>
      <c r="G33" s="185">
        <f t="shared" si="1"/>
        <v>4280000</v>
      </c>
      <c r="H33" s="185">
        <f t="shared" si="2"/>
        <v>1310000</v>
      </c>
      <c r="I33" s="186">
        <f t="shared" si="3"/>
        <v>0.4410774411</v>
      </c>
      <c r="J33" s="187">
        <v>2158.83</v>
      </c>
      <c r="K33" s="188">
        <f t="shared" ref="K33:K34" si="17">G33/1375.745</f>
        <v>3111.041654</v>
      </c>
      <c r="L33" s="185">
        <f t="shared" ref="L33:L34" si="18">G33</f>
        <v>4280000</v>
      </c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182">
        <v>32.0</v>
      </c>
      <c r="B34" s="93" t="s">
        <v>65</v>
      </c>
      <c r="C34" s="183">
        <v>15.0</v>
      </c>
      <c r="D34" s="184">
        <v>47533.0</v>
      </c>
      <c r="E34" s="184">
        <v>713000.0</v>
      </c>
      <c r="F34" s="185">
        <f>IFERROR(__xludf.DUMMYFUNCTION("GOOGLEFINANCE(""105560"", ""price"")"),161200.0)</f>
        <v>161200</v>
      </c>
      <c r="G34" s="185">
        <f t="shared" si="1"/>
        <v>2418000</v>
      </c>
      <c r="H34" s="185">
        <f t="shared" si="2"/>
        <v>1705000</v>
      </c>
      <c r="I34" s="186">
        <f t="shared" si="3"/>
        <v>2.391304348</v>
      </c>
      <c r="J34" s="187">
        <v>518.26</v>
      </c>
      <c r="K34" s="188">
        <f t="shared" si="17"/>
        <v>1757.593159</v>
      </c>
      <c r="L34" s="185">
        <f t="shared" si="18"/>
        <v>2418000</v>
      </c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182">
        <v>33.0</v>
      </c>
      <c r="B35" s="93" t="s">
        <v>217</v>
      </c>
      <c r="C35" s="183">
        <v>7.696917</v>
      </c>
      <c r="D35" s="189">
        <v>497.38</v>
      </c>
      <c r="E35" s="189">
        <v>3828.33</v>
      </c>
      <c r="F35" s="188">
        <f>IFERROR(__xludf.DUMMYFUNCTION("GOOGLEFINANCE(""VOO"", ""price"")"),674.66)</f>
        <v>674.66</v>
      </c>
      <c r="G35" s="188">
        <f t="shared" si="1"/>
        <v>5192.802023</v>
      </c>
      <c r="H35" s="188">
        <f t="shared" si="2"/>
        <v>1364.472023</v>
      </c>
      <c r="I35" s="186">
        <f t="shared" si="3"/>
        <v>0.3564144218</v>
      </c>
      <c r="J35" s="187">
        <v>3828.33</v>
      </c>
      <c r="K35" s="187">
        <v>4412.03</v>
      </c>
      <c r="L35" s="185">
        <f>K35*1375.745</f>
        <v>6069828.212</v>
      </c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182">
        <v>34.0</v>
      </c>
      <c r="B36" s="93" t="s">
        <v>20</v>
      </c>
      <c r="C36" s="183">
        <v>168.0</v>
      </c>
      <c r="D36" s="184">
        <v>11648.0</v>
      </c>
      <c r="E36" s="184">
        <v>1956810.0</v>
      </c>
      <c r="F36" s="185">
        <f>IFERROR(__xludf.DUMMYFUNCTION("GOOGLEFINANCE(""458730"", ""price"")"),14620.0)</f>
        <v>14620</v>
      </c>
      <c r="G36" s="185">
        <f t="shared" si="1"/>
        <v>2456160</v>
      </c>
      <c r="H36" s="185">
        <f t="shared" si="2"/>
        <v>499350</v>
      </c>
      <c r="I36" s="186">
        <f t="shared" si="3"/>
        <v>0.255185736</v>
      </c>
      <c r="J36" s="187">
        <v>1422.36</v>
      </c>
      <c r="K36" s="188">
        <f t="shared" ref="K36:K42" si="19">G36/1375.745</f>
        <v>1785.330857</v>
      </c>
      <c r="L36" s="185">
        <f t="shared" ref="L36:L42" si="20">G36</f>
        <v>2456160</v>
      </c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182">
        <v>35.0</v>
      </c>
      <c r="B37" s="93" t="s">
        <v>218</v>
      </c>
      <c r="C37" s="183">
        <v>22.0</v>
      </c>
      <c r="D37" s="184">
        <v>8826.0</v>
      </c>
      <c r="E37" s="184">
        <v>194170.0</v>
      </c>
      <c r="F37" s="185">
        <f>IFERROR(__xludf.DUMMYFUNCTION("GOOGLEFINANCE(""292560"", ""price"")"),8595.0)</f>
        <v>8595</v>
      </c>
      <c r="G37" s="185">
        <f t="shared" si="1"/>
        <v>189090</v>
      </c>
      <c r="H37" s="185">
        <f t="shared" si="2"/>
        <v>-5080</v>
      </c>
      <c r="I37" s="186">
        <f t="shared" si="3"/>
        <v>-0.02616264098</v>
      </c>
      <c r="J37" s="187">
        <v>141.14</v>
      </c>
      <c r="K37" s="188">
        <f t="shared" si="19"/>
        <v>137.4455295</v>
      </c>
      <c r="L37" s="185">
        <f t="shared" si="20"/>
        <v>189090</v>
      </c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182">
        <v>36.0</v>
      </c>
      <c r="B38" s="93" t="s">
        <v>26</v>
      </c>
      <c r="C38" s="183">
        <v>168.0</v>
      </c>
      <c r="D38" s="184">
        <v>16916.0</v>
      </c>
      <c r="E38" s="184">
        <v>2841815.0</v>
      </c>
      <c r="F38" s="185">
        <f>IFERROR(__xludf.DUMMYFUNCTION("GOOGLEFINANCE(""411060"", ""price"")"),30815.0)</f>
        <v>30815</v>
      </c>
      <c r="G38" s="185">
        <f t="shared" si="1"/>
        <v>5176920</v>
      </c>
      <c r="H38" s="185">
        <f t="shared" si="2"/>
        <v>2335105</v>
      </c>
      <c r="I38" s="186">
        <f t="shared" si="3"/>
        <v>0.8216949379</v>
      </c>
      <c r="J38" s="187">
        <v>2065.66</v>
      </c>
      <c r="K38" s="188">
        <f t="shared" si="19"/>
        <v>3762.993869</v>
      </c>
      <c r="L38" s="185">
        <f t="shared" si="20"/>
        <v>5176920</v>
      </c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>
      <c r="A39" s="182">
        <v>37.0</v>
      </c>
      <c r="B39" s="93" t="s">
        <v>219</v>
      </c>
      <c r="C39" s="183">
        <v>67.0</v>
      </c>
      <c r="D39" s="184">
        <v>24175.0</v>
      </c>
      <c r="E39" s="184">
        <v>1619715.0</v>
      </c>
      <c r="F39" s="185">
        <f>IFERROR(__xludf.DUMMYFUNCTION("GOOGLEFINANCE(""200250"", ""price"")"),22990.0)</f>
        <v>22990</v>
      </c>
      <c r="G39" s="185">
        <f t="shared" si="1"/>
        <v>1540330</v>
      </c>
      <c r="H39" s="185">
        <f t="shared" si="2"/>
        <v>-79385</v>
      </c>
      <c r="I39" s="186">
        <f t="shared" si="3"/>
        <v>-0.04901170885</v>
      </c>
      <c r="J39" s="187">
        <v>1177.34</v>
      </c>
      <c r="K39" s="188">
        <f t="shared" si="19"/>
        <v>1119.633362</v>
      </c>
      <c r="L39" s="185">
        <f t="shared" si="20"/>
        <v>1540330</v>
      </c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>
      <c r="A40" s="182">
        <v>38.0</v>
      </c>
      <c r="B40" s="93" t="s">
        <v>23</v>
      </c>
      <c r="C40" s="183">
        <v>161.0</v>
      </c>
      <c r="D40" s="184">
        <v>20358.0</v>
      </c>
      <c r="E40" s="184">
        <v>3277665.0</v>
      </c>
      <c r="F40" s="185">
        <f>IFERROR(__xludf.DUMMYFUNCTION("GOOGLEFINANCE(""367380"", ""price"")"),31645.0)</f>
        <v>31645</v>
      </c>
      <c r="G40" s="185">
        <f t="shared" si="1"/>
        <v>5094845</v>
      </c>
      <c r="H40" s="185">
        <f t="shared" si="2"/>
        <v>1817180</v>
      </c>
      <c r="I40" s="186">
        <f t="shared" si="3"/>
        <v>0.5544129739</v>
      </c>
      <c r="J40" s="187">
        <v>2382.47</v>
      </c>
      <c r="K40" s="188">
        <f t="shared" si="19"/>
        <v>3703.335284</v>
      </c>
      <c r="L40" s="185">
        <f t="shared" si="20"/>
        <v>5094845</v>
      </c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>
      <c r="A41" s="182">
        <v>39.0</v>
      </c>
      <c r="B41" s="93" t="s">
        <v>220</v>
      </c>
      <c r="C41" s="183">
        <v>107.0</v>
      </c>
      <c r="D41" s="184">
        <v>10940.0</v>
      </c>
      <c r="E41" s="184">
        <v>1170570.0</v>
      </c>
      <c r="F41" s="185">
        <f>IFERROR(__xludf.DUMMYFUNCTION("GOOGLEFINANCE(""446720"", ""price"")"),13400.0)</f>
        <v>13400</v>
      </c>
      <c r="G41" s="185">
        <f t="shared" si="1"/>
        <v>1433800</v>
      </c>
      <c r="H41" s="185">
        <f t="shared" si="2"/>
        <v>263230</v>
      </c>
      <c r="I41" s="186">
        <f t="shared" si="3"/>
        <v>0.2248733523</v>
      </c>
      <c r="J41" s="187">
        <v>850.86</v>
      </c>
      <c r="K41" s="188">
        <f t="shared" si="19"/>
        <v>1042.198954</v>
      </c>
      <c r="L41" s="185">
        <f t="shared" si="20"/>
        <v>1433800</v>
      </c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182">
        <v>40.0</v>
      </c>
      <c r="B42" s="93" t="s">
        <v>14</v>
      </c>
      <c r="C42" s="183">
        <v>191.0</v>
      </c>
      <c r="D42" s="184">
        <v>11310.0</v>
      </c>
      <c r="E42" s="184">
        <v>2160210.0</v>
      </c>
      <c r="F42" s="185">
        <f>IFERROR(__xludf.DUMMYFUNCTION("GOOGLEFINANCE(""456880"", ""price"")"),12630.0)</f>
        <v>12630</v>
      </c>
      <c r="G42" s="185">
        <f t="shared" si="1"/>
        <v>2412330</v>
      </c>
      <c r="H42" s="185">
        <f t="shared" si="2"/>
        <v>252120</v>
      </c>
      <c r="I42" s="186">
        <f t="shared" si="3"/>
        <v>0.1167108753</v>
      </c>
      <c r="J42" s="187">
        <v>1570.21</v>
      </c>
      <c r="K42" s="188">
        <f t="shared" si="19"/>
        <v>1753.471755</v>
      </c>
      <c r="L42" s="185">
        <f t="shared" si="20"/>
        <v>2412330</v>
      </c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182">
        <v>41.0</v>
      </c>
      <c r="B43" s="93" t="s">
        <v>50</v>
      </c>
      <c r="C43" s="183">
        <v>12.34346</v>
      </c>
      <c r="D43" s="189">
        <v>149.62</v>
      </c>
      <c r="E43" s="189">
        <v>1846.87</v>
      </c>
      <c r="F43" s="188">
        <f>IFERROR(__xludf.DUMMYFUNCTION("GOOGLEFINANCE(""XLV"", ""price"")"),145.4)</f>
        <v>145.4</v>
      </c>
      <c r="G43" s="188">
        <f t="shared" si="1"/>
        <v>1794.739084</v>
      </c>
      <c r="H43" s="188">
        <f t="shared" si="2"/>
        <v>-52.130916</v>
      </c>
      <c r="I43" s="186">
        <f t="shared" si="3"/>
        <v>-0.02822662992</v>
      </c>
      <c r="J43" s="187">
        <v>1846.87</v>
      </c>
      <c r="K43" s="187">
        <v>1668.71</v>
      </c>
      <c r="L43" s="185">
        <f t="shared" ref="L43:L44" si="21">K43*1375.745</f>
        <v>2295719.439</v>
      </c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182">
        <v>42.0</v>
      </c>
      <c r="B44" s="93" t="s">
        <v>67</v>
      </c>
      <c r="C44" s="183">
        <v>2.0</v>
      </c>
      <c r="D44" s="189">
        <v>106.72</v>
      </c>
      <c r="E44" s="189">
        <v>213.44</v>
      </c>
      <c r="F44" s="188">
        <f>IFERROR(__xludf.DUMMYFUNCTION("GOOGLEFINANCE(""NVDA"", ""price"")"),207.83)</f>
        <v>207.83</v>
      </c>
      <c r="G44" s="188">
        <f t="shared" si="1"/>
        <v>415.66</v>
      </c>
      <c r="H44" s="188">
        <f t="shared" si="2"/>
        <v>202.22</v>
      </c>
      <c r="I44" s="186">
        <f t="shared" si="3"/>
        <v>0.9474325337</v>
      </c>
      <c r="J44" s="187">
        <v>213.44</v>
      </c>
      <c r="K44" s="187">
        <v>329.84</v>
      </c>
      <c r="L44" s="185">
        <f t="shared" si="21"/>
        <v>453775.7308</v>
      </c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127">
        <v>43.0</v>
      </c>
      <c r="B45" s="109" t="s">
        <v>53</v>
      </c>
      <c r="C45" s="128">
        <v>194.0</v>
      </c>
      <c r="D45" s="129">
        <v>14291.0</v>
      </c>
      <c r="E45" s="129">
        <v>2772525.0</v>
      </c>
      <c r="F45" s="65">
        <f>IFERROR(__xludf.DUMMYFUNCTION("GOOGLEFINANCE(""434060"", ""price"")"),18195.0)</f>
        <v>18195</v>
      </c>
      <c r="G45" s="65">
        <f t="shared" si="1"/>
        <v>3529830</v>
      </c>
      <c r="H45" s="65">
        <f t="shared" si="2"/>
        <v>757305</v>
      </c>
      <c r="I45" s="130">
        <f t="shared" si="3"/>
        <v>0.2731463197</v>
      </c>
      <c r="J45" s="131">
        <v>2015.29</v>
      </c>
      <c r="K45" s="132">
        <f t="shared" ref="K45:K47" si="22">G45/1375.745</f>
        <v>2565.758916</v>
      </c>
      <c r="L45" s="65">
        <f t="shared" ref="L45:L47" si="23">G45</f>
        <v>3529830</v>
      </c>
    </row>
    <row r="46">
      <c r="A46" s="182">
        <v>44.0</v>
      </c>
      <c r="B46" s="93" t="s">
        <v>75</v>
      </c>
      <c r="C46" s="183">
        <v>10.0</v>
      </c>
      <c r="D46" s="184">
        <v>67300.0</v>
      </c>
      <c r="E46" s="184">
        <v>673000.0</v>
      </c>
      <c r="F46" s="185">
        <f>IFERROR(__xludf.DUMMYFUNCTION("GOOGLEFINANCE(""016360"", ""price"")"),146500.0)</f>
        <v>146500</v>
      </c>
      <c r="G46" s="185">
        <f t="shared" si="1"/>
        <v>1465000</v>
      </c>
      <c r="H46" s="185">
        <f t="shared" si="2"/>
        <v>792000</v>
      </c>
      <c r="I46" s="186">
        <f t="shared" si="3"/>
        <v>1.176820208</v>
      </c>
      <c r="J46" s="187">
        <v>489.19</v>
      </c>
      <c r="K46" s="188">
        <f t="shared" si="22"/>
        <v>1064.877575</v>
      </c>
      <c r="L46" s="185">
        <f t="shared" si="23"/>
        <v>1465000</v>
      </c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>
      <c r="A47" s="182">
        <v>45.0</v>
      </c>
      <c r="B47" s="93" t="s">
        <v>57</v>
      </c>
      <c r="C47" s="183">
        <v>10.0</v>
      </c>
      <c r="D47" s="184">
        <v>14070.0</v>
      </c>
      <c r="E47" s="184">
        <v>140700.0</v>
      </c>
      <c r="F47" s="185">
        <f>IFERROR(__xludf.DUMMYFUNCTION("GOOGLEFINANCE(""487230"", ""price"")"),27835.0)</f>
        <v>27835</v>
      </c>
      <c r="G47" s="185">
        <f t="shared" si="1"/>
        <v>278350</v>
      </c>
      <c r="H47" s="185">
        <f t="shared" si="2"/>
        <v>137650</v>
      </c>
      <c r="I47" s="186">
        <f t="shared" si="3"/>
        <v>0.9783226724</v>
      </c>
      <c r="J47" s="187">
        <v>102.27</v>
      </c>
      <c r="K47" s="188">
        <f t="shared" si="22"/>
        <v>202.3267393</v>
      </c>
      <c r="L47" s="185">
        <f t="shared" si="23"/>
        <v>278350</v>
      </c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B48" s="109" t="s">
        <v>129</v>
      </c>
      <c r="C48" s="133">
        <v>85144.01</v>
      </c>
      <c r="D48" s="138">
        <f>C48*B1</f>
        <v>117136446</v>
      </c>
    </row>
    <row r="49">
      <c r="B49" s="109" t="s">
        <v>138</v>
      </c>
      <c r="C49" s="133">
        <v>111023.38</v>
      </c>
      <c r="D49" s="138">
        <f>C49*B1</f>
        <v>152739859.9</v>
      </c>
    </row>
    <row r="50">
      <c r="B50" s="109" t="s">
        <v>139</v>
      </c>
      <c r="C50" s="133">
        <v>25879.37</v>
      </c>
    </row>
    <row r="51">
      <c r="B51" s="109" t="s">
        <v>140</v>
      </c>
      <c r="C51" s="135">
        <v>0.3039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</cols>
  <sheetData>
    <row r="1">
      <c r="B1" s="127">
        <v>1381.8451300000002</v>
      </c>
    </row>
    <row r="2">
      <c r="A2" s="109" t="s">
        <v>126</v>
      </c>
      <c r="B2" s="109" t="s">
        <v>1</v>
      </c>
      <c r="C2" s="109" t="s">
        <v>127</v>
      </c>
      <c r="D2" s="109" t="s">
        <v>128</v>
      </c>
      <c r="E2" s="109" t="s">
        <v>129</v>
      </c>
      <c r="F2" s="109" t="s">
        <v>130</v>
      </c>
      <c r="G2" s="109" t="s">
        <v>131</v>
      </c>
      <c r="H2" s="109" t="s">
        <v>132</v>
      </c>
      <c r="I2" s="109" t="s">
        <v>133</v>
      </c>
      <c r="J2" s="109" t="s">
        <v>134</v>
      </c>
      <c r="K2" s="109" t="s">
        <v>135</v>
      </c>
      <c r="L2" s="109" t="s">
        <v>136</v>
      </c>
    </row>
    <row r="3">
      <c r="A3" s="190">
        <v>1.0</v>
      </c>
      <c r="B3" s="191" t="s">
        <v>37</v>
      </c>
      <c r="C3" s="192">
        <v>133.0</v>
      </c>
      <c r="D3" s="193">
        <v>60281.0</v>
      </c>
      <c r="E3" s="193">
        <v>8017400.0</v>
      </c>
      <c r="F3" s="194">
        <f>IFERROR(__xludf.DUMMYFUNCTION("GOOGLEFINANCE(""005930"", ""price"")"),271000.0)</f>
        <v>271000</v>
      </c>
      <c r="G3" s="194">
        <f t="shared" ref="G3:G48" si="1">F3*C3</f>
        <v>36043000</v>
      </c>
      <c r="H3" s="194">
        <f t="shared" ref="H3:H48" si="2">G3-E3</f>
        <v>28025600</v>
      </c>
      <c r="I3" s="195">
        <f t="shared" ref="I3:I48" si="3">IF(E3&gt;0, H3/E3, 0)</f>
        <v>3.495597076</v>
      </c>
      <c r="J3" s="196">
        <v>5801.95</v>
      </c>
      <c r="K3" s="197">
        <f t="shared" ref="K3:K4" si="4">G3/1381.84513</f>
        <v>26083.24133</v>
      </c>
      <c r="L3" s="194">
        <f t="shared" ref="L3:L4" si="5">G3</f>
        <v>36043000</v>
      </c>
      <c r="M3" s="198"/>
      <c r="N3" s="191" t="s">
        <v>223</v>
      </c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>
      <c r="A4" s="199">
        <v>2.0</v>
      </c>
      <c r="B4" s="119" t="s">
        <v>39</v>
      </c>
      <c r="C4" s="200">
        <v>34.0</v>
      </c>
      <c r="D4" s="201">
        <v>52668.0</v>
      </c>
      <c r="E4" s="201">
        <v>1790697.0</v>
      </c>
      <c r="F4" s="202">
        <f>IFERROR(__xludf.DUMMYFUNCTION("GOOGLEFINANCE(""005935"", ""price"")"),185250.0)</f>
        <v>185250</v>
      </c>
      <c r="G4" s="202">
        <f t="shared" si="1"/>
        <v>6298500</v>
      </c>
      <c r="H4" s="202">
        <f t="shared" si="2"/>
        <v>4507803</v>
      </c>
      <c r="I4" s="203">
        <f t="shared" si="3"/>
        <v>2.517345481</v>
      </c>
      <c r="J4" s="204">
        <v>1295.87</v>
      </c>
      <c r="K4" s="205">
        <f t="shared" si="4"/>
        <v>4558.036109</v>
      </c>
      <c r="L4" s="202">
        <f t="shared" si="5"/>
        <v>6298500</v>
      </c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>
      <c r="A5" s="190">
        <v>3.0</v>
      </c>
      <c r="B5" s="191" t="s">
        <v>186</v>
      </c>
      <c r="C5" s="192">
        <v>110.397405</v>
      </c>
      <c r="D5" s="206">
        <v>51.51</v>
      </c>
      <c r="E5" s="206">
        <v>5686.85</v>
      </c>
      <c r="F5" s="197">
        <f>IFERROR(__xludf.DUMMYFUNCTION("GOOGLEFINANCE(""KO"", ""price"")"),79.23)</f>
        <v>79.23</v>
      </c>
      <c r="G5" s="197">
        <f t="shared" si="1"/>
        <v>8746.786398</v>
      </c>
      <c r="H5" s="197">
        <f t="shared" si="2"/>
        <v>3059.936398</v>
      </c>
      <c r="I5" s="195">
        <f t="shared" si="3"/>
        <v>0.5380722893</v>
      </c>
      <c r="J5" s="196">
        <v>5686.85</v>
      </c>
      <c r="K5" s="196">
        <v>7932.05</v>
      </c>
      <c r="L5" s="194">
        <f>K5*1381.84513</f>
        <v>10960864.66</v>
      </c>
      <c r="M5" s="198"/>
      <c r="N5" s="191">
        <v>110.42</v>
      </c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>
      <c r="A6" s="127">
        <v>4.0</v>
      </c>
      <c r="B6" s="109" t="s">
        <v>208</v>
      </c>
      <c r="C6" s="128">
        <v>93.0</v>
      </c>
      <c r="D6" s="129">
        <v>67593.0</v>
      </c>
      <c r="E6" s="129">
        <v>6286120.0</v>
      </c>
      <c r="F6" s="65">
        <f>IFERROR(__xludf.DUMMYFUNCTION("GOOGLEFINANCE(""133690"", ""price"")"),184065.0)</f>
        <v>184065</v>
      </c>
      <c r="G6" s="65">
        <f t="shared" si="1"/>
        <v>17118045</v>
      </c>
      <c r="H6" s="65">
        <f t="shared" si="2"/>
        <v>10831925</v>
      </c>
      <c r="I6" s="130">
        <f t="shared" si="3"/>
        <v>1.723149574</v>
      </c>
      <c r="J6" s="131">
        <v>4549.08</v>
      </c>
      <c r="K6" s="132">
        <f>G6/1381.84513</f>
        <v>12387.81729</v>
      </c>
      <c r="L6" s="65">
        <f>G6</f>
        <v>17118045</v>
      </c>
    </row>
    <row r="7">
      <c r="A7" s="199">
        <v>5.0</v>
      </c>
      <c r="B7" s="119" t="s">
        <v>71</v>
      </c>
      <c r="C7" s="200">
        <v>31.0</v>
      </c>
      <c r="D7" s="207">
        <v>95.3</v>
      </c>
      <c r="E7" s="207">
        <v>2954.44</v>
      </c>
      <c r="F7" s="205">
        <f>IFERROR(__xludf.DUMMYFUNCTION("GOOGLEFINANCE(""VYM"", ""price"")"),156.95)</f>
        <v>156.95</v>
      </c>
      <c r="G7" s="205">
        <f t="shared" si="1"/>
        <v>4865.45</v>
      </c>
      <c r="H7" s="205">
        <f t="shared" si="2"/>
        <v>1911.01</v>
      </c>
      <c r="I7" s="203">
        <f t="shared" si="3"/>
        <v>0.6468264713</v>
      </c>
      <c r="J7" s="204">
        <v>2954.44</v>
      </c>
      <c r="K7" s="204">
        <v>3960.25</v>
      </c>
      <c r="L7" s="202">
        <f>K7*1381.84513</f>
        <v>5472452.176</v>
      </c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>
      <c r="A8" s="127">
        <v>6.0</v>
      </c>
      <c r="B8" s="109" t="s">
        <v>209</v>
      </c>
      <c r="C8" s="128">
        <v>227.0</v>
      </c>
      <c r="D8" s="129">
        <v>18466.0</v>
      </c>
      <c r="E8" s="129">
        <v>4191675.0</v>
      </c>
      <c r="F8" s="65">
        <f>IFERROR(__xludf.DUMMYFUNCTION("GOOGLEFINANCE(""245340"", ""price"")"),35255.0)</f>
        <v>35255</v>
      </c>
      <c r="G8" s="65">
        <f t="shared" si="1"/>
        <v>8002885</v>
      </c>
      <c r="H8" s="65">
        <f t="shared" si="2"/>
        <v>3811210</v>
      </c>
      <c r="I8" s="130">
        <f t="shared" si="3"/>
        <v>0.9092331824</v>
      </c>
      <c r="J8" s="131">
        <v>3033.39</v>
      </c>
      <c r="K8" s="132">
        <f>G8/1381.84513</f>
        <v>5791.448568</v>
      </c>
      <c r="L8" s="65">
        <f>G8</f>
        <v>8002885</v>
      </c>
    </row>
    <row r="9">
      <c r="A9" s="190">
        <v>7.0</v>
      </c>
      <c r="B9" s="191" t="s">
        <v>79</v>
      </c>
      <c r="C9" s="192">
        <v>23.637130000000003</v>
      </c>
      <c r="D9" s="206">
        <v>143.97</v>
      </c>
      <c r="E9" s="206">
        <v>3403.14</v>
      </c>
      <c r="F9" s="197">
        <f>IFERROR(__xludf.DUMMYFUNCTION("GOOGLEFINANCE(""AAPL"", ""price"")"),287.51)</f>
        <v>287.51</v>
      </c>
      <c r="G9" s="197">
        <f t="shared" si="1"/>
        <v>6795.911246</v>
      </c>
      <c r="H9" s="197">
        <f t="shared" si="2"/>
        <v>3392.771246</v>
      </c>
      <c r="I9" s="195">
        <f t="shared" si="3"/>
        <v>0.9969531804</v>
      </c>
      <c r="J9" s="196">
        <v>3403.14</v>
      </c>
      <c r="K9" s="196">
        <v>4776.83</v>
      </c>
      <c r="L9" s="194">
        <f>K9*1381.84513</f>
        <v>6600839.272</v>
      </c>
      <c r="M9" s="198"/>
      <c r="N9" s="191">
        <v>23.35</v>
      </c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>
      <c r="A10" s="199">
        <v>8.0</v>
      </c>
      <c r="B10" s="119" t="s">
        <v>81</v>
      </c>
      <c r="C10" s="200">
        <v>98.0</v>
      </c>
      <c r="D10" s="201">
        <v>17921.0</v>
      </c>
      <c r="E10" s="201">
        <v>1756305.0</v>
      </c>
      <c r="F10" s="202">
        <f>IFERROR(__xludf.DUMMYFUNCTION("GOOGLEFINANCE(""157490"", ""price"")"),9080.0)</f>
        <v>9080</v>
      </c>
      <c r="G10" s="202">
        <f t="shared" si="1"/>
        <v>889840</v>
      </c>
      <c r="H10" s="202">
        <f t="shared" si="2"/>
        <v>-866465</v>
      </c>
      <c r="I10" s="203">
        <f t="shared" si="3"/>
        <v>-0.4933454041</v>
      </c>
      <c r="J10" s="204">
        <v>1270.99</v>
      </c>
      <c r="K10" s="205">
        <f t="shared" ref="K10:K11" si="6">G10/1381.84513</f>
        <v>643.9505996</v>
      </c>
      <c r="L10" s="202">
        <f t="shared" ref="L10:L11" si="7">G10</f>
        <v>889840</v>
      </c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>
      <c r="A11" s="199">
        <v>9.0</v>
      </c>
      <c r="B11" s="119" t="s">
        <v>90</v>
      </c>
      <c r="C11" s="200">
        <v>3.0</v>
      </c>
      <c r="D11" s="201">
        <v>177500.0</v>
      </c>
      <c r="E11" s="201">
        <v>532500.0</v>
      </c>
      <c r="F11" s="202">
        <f>IFERROR(__xludf.DUMMYFUNCTION("GOOGLEFINANCE(""139480"", ""price"")"),108100.0)</f>
        <v>108100</v>
      </c>
      <c r="G11" s="202">
        <f t="shared" si="1"/>
        <v>324300</v>
      </c>
      <c r="H11" s="202">
        <f t="shared" si="2"/>
        <v>-208200</v>
      </c>
      <c r="I11" s="203">
        <f t="shared" si="3"/>
        <v>-0.3909859155</v>
      </c>
      <c r="J11" s="204">
        <v>385.35</v>
      </c>
      <c r="K11" s="205">
        <f t="shared" si="6"/>
        <v>234.6862126</v>
      </c>
      <c r="L11" s="202">
        <f t="shared" si="7"/>
        <v>324300</v>
      </c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>
      <c r="A12" s="199">
        <v>10.0</v>
      </c>
      <c r="B12" s="119" t="s">
        <v>199</v>
      </c>
      <c r="C12" s="200">
        <v>83.032213</v>
      </c>
      <c r="D12" s="207">
        <v>38.17</v>
      </c>
      <c r="E12" s="207">
        <v>3169.23</v>
      </c>
      <c r="F12" s="205">
        <f>IFERROR(__xludf.DUMMYFUNCTION("GOOGLEFINANCE(""PFE"", ""price"")"),26.53)</f>
        <v>26.53</v>
      </c>
      <c r="G12" s="205">
        <f t="shared" si="1"/>
        <v>2202.844611</v>
      </c>
      <c r="H12" s="205">
        <f t="shared" si="2"/>
        <v>-966.3853891</v>
      </c>
      <c r="I12" s="203">
        <f t="shared" si="3"/>
        <v>-0.3049275026</v>
      </c>
      <c r="J12" s="204">
        <v>3169.23</v>
      </c>
      <c r="K12" s="204">
        <v>1913.06</v>
      </c>
      <c r="L12" s="202">
        <f t="shared" ref="L12:L15" si="8">K12*1381.84513</f>
        <v>2643552.644</v>
      </c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>
      <c r="A13" s="190">
        <v>11.0</v>
      </c>
      <c r="B13" s="191" t="s">
        <v>11</v>
      </c>
      <c r="C13" s="192">
        <v>44.515482999999996</v>
      </c>
      <c r="D13" s="206">
        <v>168.48</v>
      </c>
      <c r="E13" s="206">
        <v>7499.78</v>
      </c>
      <c r="F13" s="197">
        <f>IFERROR(__xludf.DUMMYFUNCTION("GOOGLEFINANCE(""SMH"", ""price"")"),549.76)</f>
        <v>549.76</v>
      </c>
      <c r="G13" s="197">
        <f t="shared" si="1"/>
        <v>24472.83193</v>
      </c>
      <c r="H13" s="197">
        <f t="shared" si="2"/>
        <v>16973.05193</v>
      </c>
      <c r="I13" s="195">
        <f t="shared" si="3"/>
        <v>2.263139977</v>
      </c>
      <c r="J13" s="196">
        <v>7499.78</v>
      </c>
      <c r="K13" s="196">
        <v>10749.15</v>
      </c>
      <c r="L13" s="194">
        <f t="shared" si="8"/>
        <v>14853660.58</v>
      </c>
      <c r="M13" s="198"/>
      <c r="N13" s="191">
        <v>44.54</v>
      </c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>
      <c r="A14" s="199">
        <v>12.0</v>
      </c>
      <c r="B14" s="119" t="s">
        <v>210</v>
      </c>
      <c r="C14" s="200">
        <v>2.0</v>
      </c>
      <c r="D14" s="207">
        <v>132.77</v>
      </c>
      <c r="E14" s="207">
        <v>265.54</v>
      </c>
      <c r="F14" s="205">
        <f>IFERROR(__xludf.DUMMYFUNCTION("GOOGLEFINANCE(""NKE"", ""price"")"),43.88)</f>
        <v>43.88</v>
      </c>
      <c r="G14" s="205">
        <f t="shared" si="1"/>
        <v>87.76</v>
      </c>
      <c r="H14" s="205">
        <f t="shared" si="2"/>
        <v>-177.78</v>
      </c>
      <c r="I14" s="203">
        <f t="shared" si="3"/>
        <v>-0.6695036529</v>
      </c>
      <c r="J14" s="204">
        <v>265.54</v>
      </c>
      <c r="K14" s="204">
        <v>119.96</v>
      </c>
      <c r="L14" s="202">
        <f t="shared" si="8"/>
        <v>165766.1418</v>
      </c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>
      <c r="A15" s="199">
        <v>13.0</v>
      </c>
      <c r="B15" s="119" t="s">
        <v>224</v>
      </c>
      <c r="C15" s="200">
        <v>6.0</v>
      </c>
      <c r="D15" s="207">
        <v>89.79</v>
      </c>
      <c r="E15" s="207">
        <v>538.72</v>
      </c>
      <c r="F15" s="205">
        <f>IFERROR(__xludf.DUMMYFUNCTION("GOOGLEFINANCE(""RBLX"", ""price"")"),43.76)</f>
        <v>43.76</v>
      </c>
      <c r="G15" s="205">
        <f t="shared" si="1"/>
        <v>262.56</v>
      </c>
      <c r="H15" s="205">
        <f t="shared" si="2"/>
        <v>-276.16</v>
      </c>
      <c r="I15" s="203">
        <f t="shared" si="3"/>
        <v>-0.5126225126</v>
      </c>
      <c r="J15" s="204">
        <v>538.72</v>
      </c>
      <c r="K15" s="204">
        <v>486.96</v>
      </c>
      <c r="L15" s="202">
        <f t="shared" si="8"/>
        <v>672903.3045</v>
      </c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>
      <c r="A16" s="199">
        <v>14.0</v>
      </c>
      <c r="B16" s="119" t="s">
        <v>177</v>
      </c>
      <c r="C16" s="200">
        <v>5.0</v>
      </c>
      <c r="D16" s="201">
        <v>239200.0</v>
      </c>
      <c r="E16" s="201">
        <v>1196000.0</v>
      </c>
      <c r="F16" s="202">
        <f>IFERROR(__xludf.DUMMYFUNCTION("GOOGLEFINANCE(""034730"", ""price"")"),544000.0)</f>
        <v>544000</v>
      </c>
      <c r="G16" s="202">
        <f t="shared" si="1"/>
        <v>2720000</v>
      </c>
      <c r="H16" s="202">
        <f t="shared" si="2"/>
        <v>1524000</v>
      </c>
      <c r="I16" s="203">
        <f t="shared" si="3"/>
        <v>1.274247492</v>
      </c>
      <c r="J16" s="204">
        <v>865.51</v>
      </c>
      <c r="K16" s="205">
        <f t="shared" ref="K16:K17" si="9">G16/1381.84513</f>
        <v>1968.382665</v>
      </c>
      <c r="L16" s="202">
        <f t="shared" ref="L16:L17" si="10">G16</f>
        <v>2720000</v>
      </c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>
      <c r="A17" s="199">
        <v>15.0</v>
      </c>
      <c r="B17" s="119" t="s">
        <v>32</v>
      </c>
      <c r="C17" s="200">
        <v>202.0</v>
      </c>
      <c r="D17" s="201">
        <v>11523.0</v>
      </c>
      <c r="E17" s="201">
        <v>2327720.0</v>
      </c>
      <c r="F17" s="202">
        <f>IFERROR(__xludf.DUMMYFUNCTION("GOOGLEFINANCE(""379800"", ""price"")"),24205.0)</f>
        <v>24205</v>
      </c>
      <c r="G17" s="202">
        <f t="shared" si="1"/>
        <v>4889410</v>
      </c>
      <c r="H17" s="202">
        <f t="shared" si="2"/>
        <v>2561690</v>
      </c>
      <c r="I17" s="203">
        <f t="shared" si="3"/>
        <v>1.100514667</v>
      </c>
      <c r="J17" s="204">
        <v>1684.5</v>
      </c>
      <c r="K17" s="205">
        <f t="shared" si="9"/>
        <v>3538.319812</v>
      </c>
      <c r="L17" s="202">
        <f t="shared" si="10"/>
        <v>4889410</v>
      </c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>
      <c r="A18" s="199">
        <v>16.0</v>
      </c>
      <c r="B18" s="119" t="s">
        <v>203</v>
      </c>
      <c r="C18" s="200">
        <v>7.0</v>
      </c>
      <c r="D18" s="207">
        <v>445.47</v>
      </c>
      <c r="E18" s="207">
        <v>3118.28</v>
      </c>
      <c r="F18" s="205">
        <f>IFERROR(__xludf.DUMMYFUNCTION("GOOGLEFINANCE(""SPY"", ""price"")"),733.83)</f>
        <v>733.83</v>
      </c>
      <c r="G18" s="205">
        <f t="shared" si="1"/>
        <v>5136.81</v>
      </c>
      <c r="H18" s="205">
        <f t="shared" si="2"/>
        <v>2018.53</v>
      </c>
      <c r="I18" s="203">
        <f t="shared" si="3"/>
        <v>0.6473216004</v>
      </c>
      <c r="J18" s="204">
        <v>3118.28</v>
      </c>
      <c r="K18" s="204">
        <v>4080.02</v>
      </c>
      <c r="L18" s="202">
        <f t="shared" ref="L18:L27" si="11">K18*1381.84513</f>
        <v>5637955.767</v>
      </c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>
      <c r="A19" s="199">
        <v>17.0</v>
      </c>
      <c r="B19" s="119" t="s">
        <v>201</v>
      </c>
      <c r="C19" s="200">
        <v>8.983639</v>
      </c>
      <c r="D19" s="207">
        <v>92.75</v>
      </c>
      <c r="E19" s="207">
        <v>833.19</v>
      </c>
      <c r="F19" s="205">
        <f>IFERROR(__xludf.DUMMYFUNCTION("GOOGLEFINANCE(""SBUX"", ""price"")"),106.44)</f>
        <v>106.44</v>
      </c>
      <c r="G19" s="205">
        <f t="shared" si="1"/>
        <v>956.2185352</v>
      </c>
      <c r="H19" s="205">
        <f t="shared" si="2"/>
        <v>123.0285352</v>
      </c>
      <c r="I19" s="203">
        <f t="shared" si="3"/>
        <v>0.1476596397</v>
      </c>
      <c r="J19" s="204">
        <v>833.19</v>
      </c>
      <c r="K19" s="204">
        <v>745.46</v>
      </c>
      <c r="L19" s="202">
        <f t="shared" si="11"/>
        <v>1030110.271</v>
      </c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>
      <c r="A20" s="190">
        <v>18.0</v>
      </c>
      <c r="B20" s="191" t="s">
        <v>200</v>
      </c>
      <c r="C20" s="192">
        <v>13.855751000000001</v>
      </c>
      <c r="D20" s="206">
        <v>344.47</v>
      </c>
      <c r="E20" s="206">
        <v>4772.86</v>
      </c>
      <c r="F20" s="197">
        <f>IFERROR(__xludf.DUMMYFUNCTION("GOOGLEFINANCE(""MSFT"", ""price"")"),413.96)</f>
        <v>413.96</v>
      </c>
      <c r="G20" s="197">
        <f t="shared" si="1"/>
        <v>5735.726684</v>
      </c>
      <c r="H20" s="197">
        <f t="shared" si="2"/>
        <v>962.866684</v>
      </c>
      <c r="I20" s="195">
        <f t="shared" si="3"/>
        <v>0.2017378855</v>
      </c>
      <c r="J20" s="196">
        <v>4772.86</v>
      </c>
      <c r="K20" s="196">
        <v>6270.7</v>
      </c>
      <c r="L20" s="194">
        <f t="shared" si="11"/>
        <v>8665136.257</v>
      </c>
      <c r="M20" s="198"/>
      <c r="N20" s="191">
        <v>14.07</v>
      </c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>
      <c r="A21" s="190">
        <v>19.0</v>
      </c>
      <c r="B21" s="191" t="s">
        <v>211</v>
      </c>
      <c r="C21" s="192">
        <v>1.0</v>
      </c>
      <c r="D21" s="206">
        <v>319.3</v>
      </c>
      <c r="E21" s="206">
        <v>319.3</v>
      </c>
      <c r="F21" s="197">
        <f>IFERROR(__xludf.DUMMYFUNCTION("GOOGLEFINANCE(""BRK.B"", ""price"")"),469.83)</f>
        <v>469.83</v>
      </c>
      <c r="G21" s="197">
        <f t="shared" si="1"/>
        <v>469.83</v>
      </c>
      <c r="H21" s="197">
        <f t="shared" si="2"/>
        <v>150.53</v>
      </c>
      <c r="I21" s="195">
        <f t="shared" si="3"/>
        <v>0.4714375196</v>
      </c>
      <c r="J21" s="196">
        <v>319.3</v>
      </c>
      <c r="K21" s="196">
        <v>507.03</v>
      </c>
      <c r="L21" s="194">
        <f t="shared" si="11"/>
        <v>700636.9363</v>
      </c>
      <c r="M21" s="198"/>
      <c r="N21" s="191">
        <v>1.188598</v>
      </c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>
      <c r="A22" s="199">
        <v>20.0</v>
      </c>
      <c r="B22" s="119" t="s">
        <v>212</v>
      </c>
      <c r="C22" s="200">
        <v>3.0</v>
      </c>
      <c r="D22" s="207">
        <v>150.75</v>
      </c>
      <c r="E22" s="207">
        <v>452.26</v>
      </c>
      <c r="F22" s="205">
        <f>IFERROR(__xludf.DUMMYFUNCTION("GOOGLEFINANCE(""SOXX"", ""price"")"),506.87)</f>
        <v>506.87</v>
      </c>
      <c r="G22" s="205">
        <f t="shared" si="1"/>
        <v>1520.61</v>
      </c>
      <c r="H22" s="205">
        <f t="shared" si="2"/>
        <v>1068.35</v>
      </c>
      <c r="I22" s="203">
        <f t="shared" si="3"/>
        <v>2.36224738</v>
      </c>
      <c r="J22" s="204">
        <v>452.26</v>
      </c>
      <c r="K22" s="204">
        <v>623.01</v>
      </c>
      <c r="L22" s="202">
        <f t="shared" si="11"/>
        <v>860903.3344</v>
      </c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>
      <c r="A23" s="199">
        <v>21.0</v>
      </c>
      <c r="B23" s="119" t="s">
        <v>197</v>
      </c>
      <c r="C23" s="200">
        <v>0.22056</v>
      </c>
      <c r="D23" s="207">
        <v>127.48</v>
      </c>
      <c r="E23" s="207">
        <v>28.12</v>
      </c>
      <c r="F23" s="205">
        <f>IFERROR(__xludf.DUMMYFUNCTION("GOOGLEFINANCE(""GOOGL"", ""price"")"),398.04)</f>
        <v>398.04</v>
      </c>
      <c r="G23" s="205">
        <f t="shared" si="1"/>
        <v>87.7917024</v>
      </c>
      <c r="H23" s="205">
        <f t="shared" si="2"/>
        <v>59.6717024</v>
      </c>
      <c r="I23" s="203">
        <f t="shared" si="3"/>
        <v>2.122037781</v>
      </c>
      <c r="J23" s="204">
        <v>28.12</v>
      </c>
      <c r="K23" s="204">
        <v>37.18</v>
      </c>
      <c r="L23" s="202">
        <f t="shared" si="11"/>
        <v>51377.00193</v>
      </c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>
      <c r="A24" s="199">
        <v>22.0</v>
      </c>
      <c r="B24" s="119" t="s">
        <v>213</v>
      </c>
      <c r="C24" s="200">
        <v>0.4641</v>
      </c>
      <c r="D24" s="207">
        <v>149.44</v>
      </c>
      <c r="E24" s="207">
        <v>69.36</v>
      </c>
      <c r="F24" s="205">
        <f>IFERROR(__xludf.DUMMYFUNCTION("GOOGLEFINANCE(""AMZN"", ""price"")"),274.99)</f>
        <v>274.99</v>
      </c>
      <c r="G24" s="205">
        <f t="shared" si="1"/>
        <v>127.622859</v>
      </c>
      <c r="H24" s="205">
        <f t="shared" si="2"/>
        <v>58.262859</v>
      </c>
      <c r="I24" s="203">
        <f t="shared" si="3"/>
        <v>0.8400066176</v>
      </c>
      <c r="J24" s="204">
        <v>69.36</v>
      </c>
      <c r="K24" s="204">
        <v>93.34</v>
      </c>
      <c r="L24" s="202">
        <f t="shared" si="11"/>
        <v>128981.4244</v>
      </c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>
      <c r="A25" s="199">
        <v>23.0</v>
      </c>
      <c r="B25" s="119" t="s">
        <v>214</v>
      </c>
      <c r="C25" s="200">
        <v>0.45859500000000003</v>
      </c>
      <c r="D25" s="207">
        <v>507.6</v>
      </c>
      <c r="E25" s="207">
        <v>232.78</v>
      </c>
      <c r="F25" s="205">
        <f>IFERROR(__xludf.DUMMYFUNCTION("GOOGLEFINANCE(""TSLA"", ""price"")"),398.73)</f>
        <v>398.73</v>
      </c>
      <c r="G25" s="205">
        <f t="shared" si="1"/>
        <v>182.8555844</v>
      </c>
      <c r="H25" s="205">
        <f t="shared" si="2"/>
        <v>-49.92441565</v>
      </c>
      <c r="I25" s="203">
        <f t="shared" si="3"/>
        <v>-0.2144703826</v>
      </c>
      <c r="J25" s="204">
        <v>232.78</v>
      </c>
      <c r="K25" s="204">
        <v>153.46</v>
      </c>
      <c r="L25" s="202">
        <f t="shared" si="11"/>
        <v>212057.9536</v>
      </c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>
      <c r="A26" s="199">
        <v>24.0</v>
      </c>
      <c r="B26" s="119" t="s">
        <v>204</v>
      </c>
      <c r="C26" s="200">
        <v>1.02</v>
      </c>
      <c r="D26" s="207">
        <v>631.83</v>
      </c>
      <c r="E26" s="207">
        <v>644.47</v>
      </c>
      <c r="F26" s="205">
        <f>IFERROR(__xludf.DUMMYFUNCTION("GOOGLEFINANCE(""ASML"", ""price"")"),1544.74)</f>
        <v>1544.74</v>
      </c>
      <c r="G26" s="205">
        <f t="shared" si="1"/>
        <v>1575.6348</v>
      </c>
      <c r="H26" s="205">
        <f t="shared" si="2"/>
        <v>931.1648</v>
      </c>
      <c r="I26" s="203">
        <f t="shared" si="3"/>
        <v>1.444853601</v>
      </c>
      <c r="J26" s="204">
        <v>644.47</v>
      </c>
      <c r="K26" s="204">
        <v>751.91</v>
      </c>
      <c r="L26" s="202">
        <f t="shared" si="11"/>
        <v>1039023.172</v>
      </c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>
      <c r="A27" s="199">
        <v>25.0</v>
      </c>
      <c r="B27" s="119" t="s">
        <v>215</v>
      </c>
      <c r="C27" s="200">
        <v>3.0</v>
      </c>
      <c r="D27" s="207">
        <v>403.66</v>
      </c>
      <c r="E27" s="207">
        <v>1210.98</v>
      </c>
      <c r="F27" s="205">
        <f>IFERROR(__xludf.DUMMYFUNCTION("GOOGLEFINANCE(""IVV"", ""price"")"),737.41)</f>
        <v>737.41</v>
      </c>
      <c r="G27" s="205">
        <f t="shared" si="1"/>
        <v>2212.23</v>
      </c>
      <c r="H27" s="205">
        <f t="shared" si="2"/>
        <v>1001.25</v>
      </c>
      <c r="I27" s="203">
        <f t="shared" si="3"/>
        <v>0.8268096913</v>
      </c>
      <c r="J27" s="204">
        <v>1210.98</v>
      </c>
      <c r="K27" s="204">
        <v>1757.01</v>
      </c>
      <c r="L27" s="202">
        <f t="shared" si="11"/>
        <v>2427915.712</v>
      </c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>
      <c r="A28" s="199">
        <v>26.0</v>
      </c>
      <c r="B28" s="119" t="s">
        <v>17</v>
      </c>
      <c r="C28" s="200">
        <v>238.0</v>
      </c>
      <c r="D28" s="201">
        <v>17254.0</v>
      </c>
      <c r="E28" s="201">
        <v>4106340.0</v>
      </c>
      <c r="F28" s="202">
        <f>IFERROR(__xludf.DUMMYFUNCTION("GOOGLEFINANCE(""360750"", ""price"")"),26545.0)</f>
        <v>26545</v>
      </c>
      <c r="G28" s="202">
        <f t="shared" si="1"/>
        <v>6317710</v>
      </c>
      <c r="H28" s="202">
        <f t="shared" si="2"/>
        <v>2211370</v>
      </c>
      <c r="I28" s="203">
        <f t="shared" si="3"/>
        <v>0.5385257918</v>
      </c>
      <c r="J28" s="204">
        <v>2971.64</v>
      </c>
      <c r="K28" s="205">
        <f t="shared" ref="K28:K29" si="12">G28/1381.84513</f>
        <v>4571.937812</v>
      </c>
      <c r="L28" s="202">
        <f t="shared" ref="L28:L29" si="13">G28</f>
        <v>6317710</v>
      </c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>
      <c r="A29" s="199">
        <v>27.0</v>
      </c>
      <c r="B29" s="119" t="s">
        <v>6</v>
      </c>
      <c r="C29" s="200">
        <v>287.0</v>
      </c>
      <c r="D29" s="201">
        <v>15226.0</v>
      </c>
      <c r="E29" s="201">
        <v>4369960.0</v>
      </c>
      <c r="F29" s="202">
        <f>IFERROR(__xludf.DUMMYFUNCTION("GOOGLEFINANCE(""381180"", ""price"")"),43465.0)</f>
        <v>43465</v>
      </c>
      <c r="G29" s="202">
        <f t="shared" si="1"/>
        <v>12474455</v>
      </c>
      <c r="H29" s="202">
        <f t="shared" si="2"/>
        <v>8104495</v>
      </c>
      <c r="I29" s="203">
        <f t="shared" si="3"/>
        <v>1.854592491</v>
      </c>
      <c r="J29" s="204">
        <v>3162.41</v>
      </c>
      <c r="K29" s="205">
        <f t="shared" si="12"/>
        <v>9027.390066</v>
      </c>
      <c r="L29" s="202">
        <f t="shared" si="13"/>
        <v>12474455</v>
      </c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>
      <c r="A30" s="190">
        <v>28.0</v>
      </c>
      <c r="B30" s="191" t="s">
        <v>198</v>
      </c>
      <c r="C30" s="192">
        <v>57.64131599999999</v>
      </c>
      <c r="D30" s="206">
        <v>57.0</v>
      </c>
      <c r="E30" s="206">
        <v>3285.38</v>
      </c>
      <c r="F30" s="197">
        <f>IFERROR(__xludf.DUMMYFUNCTION("GOOGLEFINANCE(""O"", ""price"")"),64.01)</f>
        <v>64.01</v>
      </c>
      <c r="G30" s="197">
        <f t="shared" si="1"/>
        <v>3689.620637</v>
      </c>
      <c r="H30" s="197">
        <f t="shared" si="2"/>
        <v>404.2406372</v>
      </c>
      <c r="I30" s="195">
        <f t="shared" si="3"/>
        <v>0.1230422773</v>
      </c>
      <c r="J30" s="196">
        <v>3285.38</v>
      </c>
      <c r="K30" s="196">
        <v>3184.68</v>
      </c>
      <c r="L30" s="194">
        <f>K30*1381.84513</f>
        <v>4400734.549</v>
      </c>
      <c r="M30" s="198"/>
      <c r="N30" s="191">
        <v>57.73</v>
      </c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>
      <c r="A31" s="199">
        <v>29.0</v>
      </c>
      <c r="B31" s="119" t="s">
        <v>29</v>
      </c>
      <c r="C31" s="200">
        <v>135.0</v>
      </c>
      <c r="D31" s="201">
        <v>12310.0</v>
      </c>
      <c r="E31" s="201">
        <v>1661865.0</v>
      </c>
      <c r="F31" s="202">
        <f>IFERROR(__xludf.DUMMYFUNCTION("GOOGLEFINANCE(""305080"", ""price"")"),13150.0)</f>
        <v>13150</v>
      </c>
      <c r="G31" s="202">
        <f t="shared" si="1"/>
        <v>1775250</v>
      </c>
      <c r="H31" s="202">
        <f t="shared" si="2"/>
        <v>113385</v>
      </c>
      <c r="I31" s="203">
        <f t="shared" si="3"/>
        <v>0.06822756361</v>
      </c>
      <c r="J31" s="204">
        <v>1202.64</v>
      </c>
      <c r="K31" s="205">
        <f t="shared" ref="K31:K32" si="14">G31/1381.84513</f>
        <v>1284.695341</v>
      </c>
      <c r="L31" s="202">
        <f t="shared" ref="L31:L32" si="15">G31</f>
        <v>1775250</v>
      </c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>
      <c r="A32" s="199">
        <v>30.0</v>
      </c>
      <c r="B32" s="119" t="s">
        <v>34</v>
      </c>
      <c r="C32" s="200">
        <v>11.0</v>
      </c>
      <c r="D32" s="201">
        <v>10090.0</v>
      </c>
      <c r="E32" s="201">
        <v>110995.0</v>
      </c>
      <c r="F32" s="202">
        <f>IFERROR(__xludf.DUMMYFUNCTION("GOOGLEFINANCE(""278530"", ""price"")"),41750.0)</f>
        <v>41750</v>
      </c>
      <c r="G32" s="202">
        <f t="shared" si="1"/>
        <v>459250</v>
      </c>
      <c r="H32" s="202">
        <f t="shared" si="2"/>
        <v>348255</v>
      </c>
      <c r="I32" s="203">
        <f t="shared" si="3"/>
        <v>3.137573765</v>
      </c>
      <c r="J32" s="204">
        <v>80.32</v>
      </c>
      <c r="K32" s="205">
        <f t="shared" si="14"/>
        <v>332.3454923</v>
      </c>
      <c r="L32" s="202">
        <f t="shared" si="15"/>
        <v>459250</v>
      </c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>
      <c r="A33" s="199">
        <v>31.0</v>
      </c>
      <c r="B33" s="119" t="s">
        <v>69</v>
      </c>
      <c r="C33" s="200">
        <v>5.0</v>
      </c>
      <c r="D33" s="207">
        <v>82.06</v>
      </c>
      <c r="E33" s="207">
        <v>410.3</v>
      </c>
      <c r="F33" s="205">
        <f>IFERROR(__xludf.DUMMYFUNCTION("GOOGLEFINANCE(""TSM"", ""price"")"),419.5)</f>
        <v>419.5</v>
      </c>
      <c r="G33" s="205">
        <f t="shared" si="1"/>
        <v>2097.5</v>
      </c>
      <c r="H33" s="205">
        <f t="shared" si="2"/>
        <v>1687.2</v>
      </c>
      <c r="I33" s="203">
        <f t="shared" si="3"/>
        <v>4.112113088</v>
      </c>
      <c r="J33" s="204">
        <v>410.3</v>
      </c>
      <c r="K33" s="204">
        <v>958.8</v>
      </c>
      <c r="L33" s="202">
        <f t="shared" ref="L33:L34" si="16">K33*1381.84513</f>
        <v>1324913.111</v>
      </c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>
      <c r="A34" s="199">
        <v>32.0</v>
      </c>
      <c r="B34" s="119" t="s">
        <v>216</v>
      </c>
      <c r="C34" s="200">
        <v>8.0</v>
      </c>
      <c r="D34" s="207">
        <v>44.55</v>
      </c>
      <c r="E34" s="207">
        <v>356.4</v>
      </c>
      <c r="F34" s="205">
        <f>IFERROR(__xludf.DUMMYFUNCTION("GOOGLEFINANCE(""C"", ""price"")"),127.6)</f>
        <v>127.6</v>
      </c>
      <c r="G34" s="205">
        <f t="shared" si="1"/>
        <v>1020.8</v>
      </c>
      <c r="H34" s="205">
        <f t="shared" si="2"/>
        <v>664.4</v>
      </c>
      <c r="I34" s="203">
        <f t="shared" si="3"/>
        <v>1.864197531</v>
      </c>
      <c r="J34" s="204">
        <v>356.4</v>
      </c>
      <c r="K34" s="204">
        <v>587.36</v>
      </c>
      <c r="L34" s="202">
        <f t="shared" si="16"/>
        <v>811640.5556</v>
      </c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>
      <c r="A35" s="199">
        <v>33.0</v>
      </c>
      <c r="B35" s="119" t="s">
        <v>220</v>
      </c>
      <c r="C35" s="200">
        <v>137.0</v>
      </c>
      <c r="D35" s="201">
        <v>10608.0</v>
      </c>
      <c r="E35" s="201">
        <v>1453305.0</v>
      </c>
      <c r="F35" s="202">
        <f>IFERROR(__xludf.DUMMYFUNCTION("GOOGLEFINANCE(""446720"", ""price"")"),13400.0)</f>
        <v>13400</v>
      </c>
      <c r="G35" s="202">
        <f t="shared" si="1"/>
        <v>1835800</v>
      </c>
      <c r="H35" s="202">
        <f t="shared" si="2"/>
        <v>382495</v>
      </c>
      <c r="I35" s="203">
        <f t="shared" si="3"/>
        <v>0.263189764</v>
      </c>
      <c r="J35" s="204">
        <v>1051.71</v>
      </c>
      <c r="K35" s="205">
        <f t="shared" ref="K35:K37" si="17">G35/1381.84513</f>
        <v>1328.513565</v>
      </c>
      <c r="L35" s="202">
        <f t="shared" ref="L35:L37" si="18">G35</f>
        <v>1835800</v>
      </c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>
      <c r="A36" s="199">
        <v>34.0</v>
      </c>
      <c r="B36" s="119" t="s">
        <v>83</v>
      </c>
      <c r="C36" s="200">
        <v>8.0</v>
      </c>
      <c r="D36" s="201">
        <v>371250.0</v>
      </c>
      <c r="E36" s="201">
        <v>2970000.0</v>
      </c>
      <c r="F36" s="202">
        <f>IFERROR(__xludf.DUMMYFUNCTION("GOOGLEFINANCE(""005490"", ""price"")"),535000.0)</f>
        <v>535000</v>
      </c>
      <c r="G36" s="202">
        <f t="shared" si="1"/>
        <v>4280000</v>
      </c>
      <c r="H36" s="202">
        <f t="shared" si="2"/>
        <v>1310000</v>
      </c>
      <c r="I36" s="203">
        <f t="shared" si="3"/>
        <v>0.4410774411</v>
      </c>
      <c r="J36" s="204">
        <v>2149.3</v>
      </c>
      <c r="K36" s="205">
        <f t="shared" si="17"/>
        <v>3097.308017</v>
      </c>
      <c r="L36" s="202">
        <f t="shared" si="18"/>
        <v>4280000</v>
      </c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>
      <c r="A37" s="199">
        <v>35.0</v>
      </c>
      <c r="B37" s="119" t="s">
        <v>65</v>
      </c>
      <c r="C37" s="200">
        <v>15.0</v>
      </c>
      <c r="D37" s="201">
        <v>47533.0</v>
      </c>
      <c r="E37" s="201">
        <v>713000.0</v>
      </c>
      <c r="F37" s="202">
        <f>IFERROR(__xludf.DUMMYFUNCTION("GOOGLEFINANCE(""105560"", ""price"")"),161200.0)</f>
        <v>161200</v>
      </c>
      <c r="G37" s="202">
        <f t="shared" si="1"/>
        <v>2418000</v>
      </c>
      <c r="H37" s="202">
        <f t="shared" si="2"/>
        <v>1705000</v>
      </c>
      <c r="I37" s="203">
        <f t="shared" si="3"/>
        <v>2.391304348</v>
      </c>
      <c r="J37" s="204">
        <v>515.98</v>
      </c>
      <c r="K37" s="205">
        <f t="shared" si="17"/>
        <v>1749.834296</v>
      </c>
      <c r="L37" s="202">
        <f t="shared" si="18"/>
        <v>2418000</v>
      </c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>
      <c r="A38" s="199">
        <v>36.0</v>
      </c>
      <c r="B38" s="119" t="s">
        <v>217</v>
      </c>
      <c r="C38" s="200">
        <v>7.308885</v>
      </c>
      <c r="D38" s="207">
        <v>493.69</v>
      </c>
      <c r="E38" s="207">
        <v>3608.3</v>
      </c>
      <c r="F38" s="205">
        <f>IFERROR(__xludf.DUMMYFUNCTION("GOOGLEFINANCE(""VOO"", ""price"")"),674.66)</f>
        <v>674.66</v>
      </c>
      <c r="G38" s="205">
        <f t="shared" si="1"/>
        <v>4931.012354</v>
      </c>
      <c r="H38" s="205">
        <f t="shared" si="2"/>
        <v>1322.712354</v>
      </c>
      <c r="I38" s="203">
        <f t="shared" si="3"/>
        <v>0.3665749395</v>
      </c>
      <c r="J38" s="204">
        <v>3608.3</v>
      </c>
      <c r="K38" s="204">
        <v>3915.88</v>
      </c>
      <c r="L38" s="202">
        <f>K38*1381.84513</f>
        <v>5411139.708</v>
      </c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>
      <c r="A39" s="199">
        <v>37.0</v>
      </c>
      <c r="B39" s="119" t="s">
        <v>20</v>
      </c>
      <c r="C39" s="200">
        <v>168.0</v>
      </c>
      <c r="D39" s="201">
        <v>11648.0</v>
      </c>
      <c r="E39" s="201">
        <v>1956810.0</v>
      </c>
      <c r="F39" s="202">
        <f>IFERROR(__xludf.DUMMYFUNCTION("GOOGLEFINANCE(""458730"", ""price"")"),14620.0)</f>
        <v>14620</v>
      </c>
      <c r="G39" s="202">
        <f t="shared" si="1"/>
        <v>2456160</v>
      </c>
      <c r="H39" s="202">
        <f t="shared" si="2"/>
        <v>499350</v>
      </c>
      <c r="I39" s="203">
        <f t="shared" si="3"/>
        <v>0.255185736</v>
      </c>
      <c r="J39" s="204">
        <v>1416.08</v>
      </c>
      <c r="K39" s="205">
        <f t="shared" ref="K39:K45" si="19">G39/1381.84513</f>
        <v>1777.449547</v>
      </c>
      <c r="L39" s="202">
        <f t="shared" ref="L39:L45" si="20">G39</f>
        <v>2456160</v>
      </c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>
      <c r="A40" s="199">
        <v>38.0</v>
      </c>
      <c r="B40" s="119" t="s">
        <v>225</v>
      </c>
      <c r="C40" s="200">
        <v>144.0</v>
      </c>
      <c r="D40" s="201">
        <v>18551.0</v>
      </c>
      <c r="E40" s="201">
        <v>2671395.0</v>
      </c>
      <c r="F40" s="202">
        <f>IFERROR(__xludf.DUMMYFUNCTION("GOOGLEFINANCE(""360200"", ""price"")"),26835.0)</f>
        <v>26835</v>
      </c>
      <c r="G40" s="202">
        <f t="shared" si="1"/>
        <v>3864240</v>
      </c>
      <c r="H40" s="202">
        <f t="shared" si="2"/>
        <v>1192845</v>
      </c>
      <c r="I40" s="203">
        <f t="shared" si="3"/>
        <v>0.4465251301</v>
      </c>
      <c r="J40" s="204">
        <v>1933.21</v>
      </c>
      <c r="K40" s="205">
        <f t="shared" si="19"/>
        <v>2796.434938</v>
      </c>
      <c r="L40" s="202">
        <f t="shared" si="20"/>
        <v>3864240</v>
      </c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>
      <c r="A41" s="199">
        <v>39.0</v>
      </c>
      <c r="B41" s="119" t="s">
        <v>218</v>
      </c>
      <c r="C41" s="200">
        <v>22.0</v>
      </c>
      <c r="D41" s="201">
        <v>8826.0</v>
      </c>
      <c r="E41" s="201">
        <v>194170.0</v>
      </c>
      <c r="F41" s="202">
        <f>IFERROR(__xludf.DUMMYFUNCTION("GOOGLEFINANCE(""292560"", ""price"")"),8595.0)</f>
        <v>8595</v>
      </c>
      <c r="G41" s="202">
        <f t="shared" si="1"/>
        <v>189090</v>
      </c>
      <c r="H41" s="202">
        <f t="shared" si="2"/>
        <v>-5080</v>
      </c>
      <c r="I41" s="203">
        <f t="shared" si="3"/>
        <v>-0.02616264098</v>
      </c>
      <c r="J41" s="204">
        <v>140.52</v>
      </c>
      <c r="K41" s="205">
        <f t="shared" si="19"/>
        <v>136.8387787</v>
      </c>
      <c r="L41" s="202">
        <f t="shared" si="20"/>
        <v>189090</v>
      </c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>
      <c r="A42" s="199">
        <v>40.0</v>
      </c>
      <c r="B42" s="119" t="s">
        <v>26</v>
      </c>
      <c r="C42" s="200">
        <v>153.0</v>
      </c>
      <c r="D42" s="201">
        <v>16537.0</v>
      </c>
      <c r="E42" s="201">
        <v>2530115.0</v>
      </c>
      <c r="F42" s="202">
        <f>IFERROR(__xludf.DUMMYFUNCTION("GOOGLEFINANCE(""411060"", ""price"")"),30815.0)</f>
        <v>30815</v>
      </c>
      <c r="G42" s="202">
        <f t="shared" si="1"/>
        <v>4714695</v>
      </c>
      <c r="H42" s="202">
        <f t="shared" si="2"/>
        <v>2184580</v>
      </c>
      <c r="I42" s="203">
        <f t="shared" si="3"/>
        <v>0.8634311089</v>
      </c>
      <c r="J42" s="204">
        <v>1830.97</v>
      </c>
      <c r="K42" s="205">
        <f t="shared" si="19"/>
        <v>3411.88379</v>
      </c>
      <c r="L42" s="202">
        <f t="shared" si="20"/>
        <v>4714695</v>
      </c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>
      <c r="A43" s="199">
        <v>41.0</v>
      </c>
      <c r="B43" s="119" t="s">
        <v>219</v>
      </c>
      <c r="C43" s="200">
        <v>61.0</v>
      </c>
      <c r="D43" s="201">
        <v>24151.0</v>
      </c>
      <c r="E43" s="201">
        <v>1473195.0</v>
      </c>
      <c r="F43" s="202">
        <f>IFERROR(__xludf.DUMMYFUNCTION("GOOGLEFINANCE(""200250"", ""price"")"),22990.0)</f>
        <v>22990</v>
      </c>
      <c r="G43" s="202">
        <f t="shared" si="1"/>
        <v>1402390</v>
      </c>
      <c r="H43" s="202">
        <f t="shared" si="2"/>
        <v>-70805</v>
      </c>
      <c r="I43" s="203">
        <f t="shared" si="3"/>
        <v>-0.04806220494</v>
      </c>
      <c r="J43" s="204">
        <v>1066.11</v>
      </c>
      <c r="K43" s="205">
        <f t="shared" si="19"/>
        <v>1014.867708</v>
      </c>
      <c r="L43" s="202">
        <f t="shared" si="20"/>
        <v>1402390</v>
      </c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>
      <c r="A44" s="199">
        <v>42.0</v>
      </c>
      <c r="B44" s="119" t="s">
        <v>23</v>
      </c>
      <c r="C44" s="200">
        <v>151.0</v>
      </c>
      <c r="D44" s="201">
        <v>20214.0</v>
      </c>
      <c r="E44" s="201">
        <v>3052315.0</v>
      </c>
      <c r="F44" s="202">
        <f>IFERROR(__xludf.DUMMYFUNCTION("GOOGLEFINANCE(""367380"", ""price"")"),31645.0)</f>
        <v>31645</v>
      </c>
      <c r="G44" s="202">
        <f t="shared" si="1"/>
        <v>4778395</v>
      </c>
      <c r="H44" s="202">
        <f t="shared" si="2"/>
        <v>1726080</v>
      </c>
      <c r="I44" s="203">
        <f t="shared" si="3"/>
        <v>0.5654986461</v>
      </c>
      <c r="J44" s="204">
        <v>2208.87</v>
      </c>
      <c r="K44" s="205">
        <f t="shared" si="19"/>
        <v>3457.981576</v>
      </c>
      <c r="L44" s="202">
        <f t="shared" si="20"/>
        <v>4778395</v>
      </c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>
      <c r="A45" s="199">
        <v>43.0</v>
      </c>
      <c r="B45" s="119" t="s">
        <v>14</v>
      </c>
      <c r="C45" s="200">
        <v>176.0</v>
      </c>
      <c r="D45" s="201">
        <v>11303.0</v>
      </c>
      <c r="E45" s="201">
        <v>1989285.0</v>
      </c>
      <c r="F45" s="202">
        <f>IFERROR(__xludf.DUMMYFUNCTION("GOOGLEFINANCE(""456880"", ""price"")"),12630.0)</f>
        <v>12630</v>
      </c>
      <c r="G45" s="202">
        <f t="shared" si="1"/>
        <v>2222880</v>
      </c>
      <c r="H45" s="202">
        <f t="shared" si="2"/>
        <v>233595</v>
      </c>
      <c r="I45" s="203">
        <f t="shared" si="3"/>
        <v>0.1174266131</v>
      </c>
      <c r="J45" s="204">
        <v>1439.59</v>
      </c>
      <c r="K45" s="205">
        <f t="shared" si="19"/>
        <v>1608.631786</v>
      </c>
      <c r="L45" s="202">
        <f t="shared" si="20"/>
        <v>2222880</v>
      </c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>
      <c r="A46" s="199">
        <v>44.0</v>
      </c>
      <c r="B46" s="119" t="s">
        <v>50</v>
      </c>
      <c r="C46" s="200">
        <v>12.34346</v>
      </c>
      <c r="D46" s="207">
        <v>149.62</v>
      </c>
      <c r="E46" s="207">
        <v>1846.87</v>
      </c>
      <c r="F46" s="205">
        <f>IFERROR(__xludf.DUMMYFUNCTION("GOOGLEFINANCE(""XLV"", ""price"")"),145.4)</f>
        <v>145.4</v>
      </c>
      <c r="G46" s="205">
        <f t="shared" si="1"/>
        <v>1794.739084</v>
      </c>
      <c r="H46" s="205">
        <f t="shared" si="2"/>
        <v>-52.130916</v>
      </c>
      <c r="I46" s="203">
        <f t="shared" si="3"/>
        <v>-0.02822662992</v>
      </c>
      <c r="J46" s="204">
        <v>1846.87</v>
      </c>
      <c r="K46" s="204">
        <v>1624.15</v>
      </c>
      <c r="L46" s="202">
        <f t="shared" ref="L46:L47" si="21">K46*1381.84513</f>
        <v>2244323.768</v>
      </c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>
      <c r="A47" s="199">
        <v>45.0</v>
      </c>
      <c r="B47" s="119" t="s">
        <v>67</v>
      </c>
      <c r="C47" s="200">
        <v>2.0</v>
      </c>
      <c r="D47" s="207">
        <v>106.72</v>
      </c>
      <c r="E47" s="207">
        <v>213.44</v>
      </c>
      <c r="F47" s="205">
        <f>IFERROR(__xludf.DUMMYFUNCTION("GOOGLEFINANCE(""NVDA"", ""price"")"),207.83)</f>
        <v>207.83</v>
      </c>
      <c r="G47" s="205">
        <f t="shared" si="1"/>
        <v>415.66</v>
      </c>
      <c r="H47" s="205">
        <f t="shared" si="2"/>
        <v>202.22</v>
      </c>
      <c r="I47" s="203">
        <f t="shared" si="3"/>
        <v>0.9474325337</v>
      </c>
      <c r="J47" s="204">
        <v>213.44</v>
      </c>
      <c r="K47" s="204">
        <v>263.6</v>
      </c>
      <c r="L47" s="202">
        <f t="shared" si="21"/>
        <v>364254.3763</v>
      </c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>
      <c r="A48" s="127">
        <v>46.0</v>
      </c>
      <c r="B48" s="109" t="s">
        <v>53</v>
      </c>
      <c r="C48" s="128">
        <v>193.0</v>
      </c>
      <c r="D48" s="129">
        <v>14290.0</v>
      </c>
      <c r="E48" s="129">
        <v>2757970.0</v>
      </c>
      <c r="F48" s="65">
        <f>IFERROR(__xludf.DUMMYFUNCTION("GOOGLEFINANCE(""434060"", ""price"")"),18195.0)</f>
        <v>18195</v>
      </c>
      <c r="G48" s="65">
        <f t="shared" si="1"/>
        <v>3511635</v>
      </c>
      <c r="H48" s="65">
        <f t="shared" si="2"/>
        <v>753665</v>
      </c>
      <c r="I48" s="130">
        <f t="shared" si="3"/>
        <v>0.2732680196</v>
      </c>
      <c r="J48" s="131">
        <v>1995.86</v>
      </c>
      <c r="K48" s="132">
        <f>G48/1381.84513</f>
        <v>2541.265243</v>
      </c>
      <c r="L48" s="65">
        <f>G48</f>
        <v>3511635</v>
      </c>
    </row>
    <row r="49">
      <c r="B49" s="109" t="s">
        <v>129</v>
      </c>
      <c r="C49" s="133">
        <v>86971.84</v>
      </c>
    </row>
    <row r="50">
      <c r="B50" s="109" t="s">
        <v>138</v>
      </c>
      <c r="C50" s="133">
        <v>103940.12</v>
      </c>
    </row>
    <row r="51">
      <c r="B51" s="109" t="s">
        <v>139</v>
      </c>
      <c r="C51" s="133">
        <v>16968.28</v>
      </c>
    </row>
    <row r="52">
      <c r="B52" s="109" t="s">
        <v>140</v>
      </c>
      <c r="C52" s="135">
        <v>0.1951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10.25"/>
    <col customWidth="1" min="4" max="4" width="8.13"/>
  </cols>
  <sheetData>
    <row r="1">
      <c r="B1" s="127">
        <v>1458.93</v>
      </c>
    </row>
    <row r="2">
      <c r="A2" s="109" t="s">
        <v>126</v>
      </c>
      <c r="B2" s="109" t="s">
        <v>1</v>
      </c>
      <c r="C2" s="109" t="s">
        <v>127</v>
      </c>
      <c r="D2" s="109" t="s">
        <v>128</v>
      </c>
      <c r="E2" s="109" t="s">
        <v>129</v>
      </c>
      <c r="F2" s="109" t="s">
        <v>130</v>
      </c>
      <c r="G2" s="109" t="s">
        <v>131</v>
      </c>
      <c r="H2" s="109" t="s">
        <v>132</v>
      </c>
      <c r="I2" s="109" t="s">
        <v>133</v>
      </c>
      <c r="J2" s="109" t="s">
        <v>134</v>
      </c>
      <c r="K2" s="109" t="s">
        <v>135</v>
      </c>
      <c r="L2" s="109" t="s">
        <v>136</v>
      </c>
    </row>
    <row r="3">
      <c r="A3" s="199">
        <v>1.0</v>
      </c>
      <c r="B3" s="119" t="s">
        <v>37</v>
      </c>
      <c r="C3" s="200">
        <v>133.0</v>
      </c>
      <c r="D3" s="201">
        <v>60281.0</v>
      </c>
      <c r="E3" s="201">
        <v>8017400.0</v>
      </c>
      <c r="F3" s="202">
        <f>IFERROR(__xludf.DUMMYFUNCTION("GOOGLEFINANCE(""005930"", ""price"")"),271000.0)</f>
        <v>271000</v>
      </c>
      <c r="G3" s="202">
        <f t="shared" ref="G3:G48" si="1">F3*C3</f>
        <v>36043000</v>
      </c>
      <c r="H3" s="202">
        <f t="shared" ref="H3:H48" si="2">G3-E3</f>
        <v>28025600</v>
      </c>
      <c r="I3" s="203">
        <f t="shared" ref="I3:I48" si="3">IF(E3&gt;0, H3/E3, 0)</f>
        <v>3.495597076</v>
      </c>
      <c r="J3" s="204">
        <v>5495.4</v>
      </c>
      <c r="K3" s="205">
        <f t="shared" ref="K3:K4" si="4">G3/1458.93</f>
        <v>24705.09209</v>
      </c>
      <c r="L3" s="202">
        <f t="shared" ref="L3:L4" si="5">G3</f>
        <v>36043000</v>
      </c>
      <c r="M3" s="119" t="s">
        <v>226</v>
      </c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>
      <c r="A4" s="190">
        <v>2.0</v>
      </c>
      <c r="B4" s="191" t="s">
        <v>39</v>
      </c>
      <c r="C4" s="192">
        <v>34.0</v>
      </c>
      <c r="D4" s="193">
        <v>52668.0</v>
      </c>
      <c r="E4" s="193">
        <v>1790697.0</v>
      </c>
      <c r="F4" s="194">
        <f>IFERROR(__xludf.DUMMYFUNCTION("GOOGLEFINANCE(""005935"", ""price"")"),185250.0)</f>
        <v>185250</v>
      </c>
      <c r="G4" s="194">
        <f t="shared" si="1"/>
        <v>6298500</v>
      </c>
      <c r="H4" s="194">
        <f t="shared" si="2"/>
        <v>4507803</v>
      </c>
      <c r="I4" s="195">
        <f t="shared" si="3"/>
        <v>2.517345481</v>
      </c>
      <c r="J4" s="196">
        <v>1227.4</v>
      </c>
      <c r="K4" s="197">
        <f t="shared" si="4"/>
        <v>4317.205075</v>
      </c>
      <c r="L4" s="194">
        <f t="shared" si="5"/>
        <v>6298500</v>
      </c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>
      <c r="A5" s="199">
        <v>3.0</v>
      </c>
      <c r="B5" s="119" t="s">
        <v>186</v>
      </c>
      <c r="C5" s="200">
        <v>110.397405</v>
      </c>
      <c r="D5" s="207">
        <v>51.51</v>
      </c>
      <c r="E5" s="207">
        <v>5686.85</v>
      </c>
      <c r="F5" s="205">
        <f>IFERROR(__xludf.DUMMYFUNCTION("GOOGLEFINANCE(""KO"", ""price"")"),79.23)</f>
        <v>79.23</v>
      </c>
      <c r="G5" s="205">
        <f t="shared" si="1"/>
        <v>8746.786398</v>
      </c>
      <c r="H5" s="205">
        <f t="shared" si="2"/>
        <v>3059.936398</v>
      </c>
      <c r="I5" s="203">
        <f t="shared" si="3"/>
        <v>0.5380722893</v>
      </c>
      <c r="J5" s="204">
        <v>5686.85</v>
      </c>
      <c r="K5" s="204">
        <v>7983.94</v>
      </c>
      <c r="L5" s="202">
        <f>K5*1458.93</f>
        <v>11648009.58</v>
      </c>
      <c r="M5" s="119">
        <v>110.42</v>
      </c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>
      <c r="A6" s="127">
        <v>4.0</v>
      </c>
      <c r="B6" s="109" t="s">
        <v>208</v>
      </c>
      <c r="C6" s="128">
        <v>93.0</v>
      </c>
      <c r="D6" s="129">
        <v>67593.0</v>
      </c>
      <c r="E6" s="129">
        <v>6286120.0</v>
      </c>
      <c r="F6" s="65">
        <f>IFERROR(__xludf.DUMMYFUNCTION("GOOGLEFINANCE(""133690"", ""price"")"),184065.0)</f>
        <v>184065</v>
      </c>
      <c r="G6" s="65">
        <f t="shared" si="1"/>
        <v>17118045</v>
      </c>
      <c r="H6" s="65">
        <f t="shared" si="2"/>
        <v>10831925</v>
      </c>
      <c r="I6" s="130">
        <f t="shared" si="3"/>
        <v>1.723149574</v>
      </c>
      <c r="J6" s="131">
        <v>4308.72</v>
      </c>
      <c r="K6" s="132">
        <f>G6/1458.93</f>
        <v>11733.28741</v>
      </c>
      <c r="L6" s="65">
        <f>G6</f>
        <v>17118045</v>
      </c>
    </row>
    <row r="7">
      <c r="A7" s="190">
        <v>5.0</v>
      </c>
      <c r="B7" s="191" t="s">
        <v>71</v>
      </c>
      <c r="C7" s="192">
        <v>28.0</v>
      </c>
      <c r="D7" s="206">
        <v>92.59</v>
      </c>
      <c r="E7" s="206">
        <v>2592.64</v>
      </c>
      <c r="F7" s="197">
        <f>IFERROR(__xludf.DUMMYFUNCTION("GOOGLEFINANCE(""VYM"", ""price"")"),156.95)</f>
        <v>156.95</v>
      </c>
      <c r="G7" s="197">
        <f t="shared" si="1"/>
        <v>4394.6</v>
      </c>
      <c r="H7" s="197">
        <f t="shared" si="2"/>
        <v>1801.96</v>
      </c>
      <c r="I7" s="195">
        <f t="shared" si="3"/>
        <v>0.6950290052</v>
      </c>
      <c r="J7" s="196">
        <v>2592.64</v>
      </c>
      <c r="K7" s="196">
        <v>3715.6</v>
      </c>
      <c r="L7" s="194">
        <f>K7*1458.93</f>
        <v>5420800.308</v>
      </c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>
      <c r="A8" s="127">
        <v>6.0</v>
      </c>
      <c r="B8" s="109" t="s">
        <v>209</v>
      </c>
      <c r="C8" s="128">
        <v>227.0</v>
      </c>
      <c r="D8" s="129">
        <v>18466.0</v>
      </c>
      <c r="E8" s="129">
        <v>4191675.0</v>
      </c>
      <c r="F8" s="65">
        <f>IFERROR(__xludf.DUMMYFUNCTION("GOOGLEFINANCE(""245340"", ""price"")"),35255.0)</f>
        <v>35255</v>
      </c>
      <c r="G8" s="65">
        <f t="shared" si="1"/>
        <v>8002885</v>
      </c>
      <c r="H8" s="65">
        <f t="shared" si="2"/>
        <v>3811210</v>
      </c>
      <c r="I8" s="130">
        <f t="shared" si="3"/>
        <v>0.9092331824</v>
      </c>
      <c r="J8" s="131">
        <v>2873.12</v>
      </c>
      <c r="K8" s="132">
        <f>G8/1458.93</f>
        <v>5485.448239</v>
      </c>
      <c r="L8" s="65">
        <f>G8</f>
        <v>8002885</v>
      </c>
    </row>
    <row r="9">
      <c r="A9" s="199">
        <v>7.0</v>
      </c>
      <c r="B9" s="119" t="s">
        <v>79</v>
      </c>
      <c r="C9" s="200">
        <v>23.637130000000003</v>
      </c>
      <c r="D9" s="207">
        <v>143.97</v>
      </c>
      <c r="E9" s="207">
        <v>3403.14</v>
      </c>
      <c r="F9" s="205">
        <f>IFERROR(__xludf.DUMMYFUNCTION("GOOGLEFINANCE(""AAPL"", ""price"")"),287.51)</f>
        <v>287.51</v>
      </c>
      <c r="G9" s="205">
        <f t="shared" si="1"/>
        <v>6795.911246</v>
      </c>
      <c r="H9" s="205">
        <f t="shared" si="2"/>
        <v>3392.771246</v>
      </c>
      <c r="I9" s="203">
        <f t="shared" si="3"/>
        <v>0.9969531804</v>
      </c>
      <c r="J9" s="204">
        <v>3403.14</v>
      </c>
      <c r="K9" s="204">
        <v>5626.35</v>
      </c>
      <c r="L9" s="202">
        <f>K9*1458.93</f>
        <v>8208450.806</v>
      </c>
      <c r="M9" s="119">
        <v>23.35</v>
      </c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>
      <c r="A10" s="190">
        <v>8.0</v>
      </c>
      <c r="B10" s="191" t="s">
        <v>81</v>
      </c>
      <c r="C10" s="192">
        <v>98.0</v>
      </c>
      <c r="D10" s="193">
        <v>17921.0</v>
      </c>
      <c r="E10" s="193">
        <v>1756305.0</v>
      </c>
      <c r="F10" s="194">
        <f>IFERROR(__xludf.DUMMYFUNCTION("GOOGLEFINANCE(""157490"", ""price"")"),9080.0)</f>
        <v>9080</v>
      </c>
      <c r="G10" s="194">
        <f t="shared" si="1"/>
        <v>889840</v>
      </c>
      <c r="H10" s="194">
        <f t="shared" si="2"/>
        <v>-866465</v>
      </c>
      <c r="I10" s="195">
        <f t="shared" si="3"/>
        <v>-0.4933454041</v>
      </c>
      <c r="J10" s="196">
        <v>1203.83</v>
      </c>
      <c r="K10" s="197">
        <f t="shared" ref="K10:K11" si="6">G10/1458.93</f>
        <v>609.9264529</v>
      </c>
      <c r="L10" s="194">
        <f t="shared" ref="L10:L11" si="7">G10</f>
        <v>889840</v>
      </c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>
      <c r="A11" s="190">
        <v>9.0</v>
      </c>
      <c r="B11" s="191" t="s">
        <v>90</v>
      </c>
      <c r="C11" s="192">
        <v>3.0</v>
      </c>
      <c r="D11" s="193">
        <v>177500.0</v>
      </c>
      <c r="E11" s="193">
        <v>532500.0</v>
      </c>
      <c r="F11" s="194">
        <f>IFERROR(__xludf.DUMMYFUNCTION("GOOGLEFINANCE(""139480"", ""price"")"),108100.0)</f>
        <v>108100</v>
      </c>
      <c r="G11" s="194">
        <f t="shared" si="1"/>
        <v>324300</v>
      </c>
      <c r="H11" s="194">
        <f t="shared" si="2"/>
        <v>-208200</v>
      </c>
      <c r="I11" s="195">
        <f t="shared" si="3"/>
        <v>-0.3909859155</v>
      </c>
      <c r="J11" s="196">
        <v>364.99</v>
      </c>
      <c r="K11" s="197">
        <f t="shared" si="6"/>
        <v>222.286196</v>
      </c>
      <c r="L11" s="194">
        <f t="shared" si="7"/>
        <v>324300</v>
      </c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>
      <c r="A12" s="190">
        <v>10.0</v>
      </c>
      <c r="B12" s="191" t="s">
        <v>199</v>
      </c>
      <c r="C12" s="192">
        <v>83.032213</v>
      </c>
      <c r="D12" s="206">
        <v>38.17</v>
      </c>
      <c r="E12" s="206">
        <v>3169.23</v>
      </c>
      <c r="F12" s="197">
        <f>IFERROR(__xludf.DUMMYFUNCTION("GOOGLEFINANCE(""PFE"", ""price"")"),26.53)</f>
        <v>26.53</v>
      </c>
      <c r="G12" s="197">
        <f t="shared" si="1"/>
        <v>2202.844611</v>
      </c>
      <c r="H12" s="197">
        <f t="shared" si="2"/>
        <v>-966.3853891</v>
      </c>
      <c r="I12" s="195">
        <f t="shared" si="3"/>
        <v>-0.3049275026</v>
      </c>
      <c r="J12" s="196">
        <v>3169.23</v>
      </c>
      <c r="K12" s="196">
        <v>2179.6</v>
      </c>
      <c r="L12" s="194">
        <f t="shared" ref="L12:L15" si="8">K12*1458.93</f>
        <v>3179883.828</v>
      </c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>
      <c r="A13" s="199">
        <v>11.0</v>
      </c>
      <c r="B13" s="119" t="s">
        <v>11</v>
      </c>
      <c r="C13" s="200">
        <v>44.515482999999996</v>
      </c>
      <c r="D13" s="207">
        <v>168.48</v>
      </c>
      <c r="E13" s="207">
        <v>7499.78</v>
      </c>
      <c r="F13" s="205">
        <f>IFERROR(__xludf.DUMMYFUNCTION("GOOGLEFINANCE(""SMH"", ""price"")"),549.76)</f>
        <v>549.76</v>
      </c>
      <c r="G13" s="205">
        <f t="shared" si="1"/>
        <v>24472.83193</v>
      </c>
      <c r="H13" s="205">
        <f t="shared" si="2"/>
        <v>16973.05193</v>
      </c>
      <c r="I13" s="203">
        <f t="shared" si="3"/>
        <v>2.263139977</v>
      </c>
      <c r="J13" s="204">
        <v>7499.78</v>
      </c>
      <c r="K13" s="204">
        <v>9927.4</v>
      </c>
      <c r="L13" s="202">
        <f t="shared" si="8"/>
        <v>14483381.68</v>
      </c>
      <c r="M13" s="119">
        <v>44.53</v>
      </c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>
      <c r="A14" s="190">
        <v>12.0</v>
      </c>
      <c r="B14" s="191" t="s">
        <v>210</v>
      </c>
      <c r="C14" s="192">
        <v>2.0</v>
      </c>
      <c r="D14" s="206">
        <v>132.77</v>
      </c>
      <c r="E14" s="206">
        <v>265.54</v>
      </c>
      <c r="F14" s="197">
        <f>IFERROR(__xludf.DUMMYFUNCTION("GOOGLEFINANCE(""NKE"", ""price"")"),43.88)</f>
        <v>43.88</v>
      </c>
      <c r="G14" s="197">
        <f t="shared" si="1"/>
        <v>87.76</v>
      </c>
      <c r="H14" s="197">
        <f t="shared" si="2"/>
        <v>-177.78</v>
      </c>
      <c r="I14" s="195">
        <f t="shared" si="3"/>
        <v>-0.6695036529</v>
      </c>
      <c r="J14" s="196">
        <v>265.54</v>
      </c>
      <c r="K14" s="196">
        <v>156.82</v>
      </c>
      <c r="L14" s="194">
        <f t="shared" si="8"/>
        <v>228789.4026</v>
      </c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>
      <c r="A15" s="190">
        <v>13.0</v>
      </c>
      <c r="B15" s="191" t="s">
        <v>224</v>
      </c>
      <c r="C15" s="192">
        <v>6.0</v>
      </c>
      <c r="D15" s="206">
        <v>89.79</v>
      </c>
      <c r="E15" s="206">
        <v>538.72</v>
      </c>
      <c r="F15" s="197">
        <f>IFERROR(__xludf.DUMMYFUNCTION("GOOGLEFINANCE(""RBLX"", ""price"")"),43.76)</f>
        <v>43.76</v>
      </c>
      <c r="G15" s="197">
        <f t="shared" si="1"/>
        <v>262.56</v>
      </c>
      <c r="H15" s="197">
        <f t="shared" si="2"/>
        <v>-276.16</v>
      </c>
      <c r="I15" s="195">
        <f t="shared" si="3"/>
        <v>-0.5126225126</v>
      </c>
      <c r="J15" s="196">
        <v>538.72</v>
      </c>
      <c r="K15" s="196">
        <v>373.08</v>
      </c>
      <c r="L15" s="194">
        <f t="shared" si="8"/>
        <v>544297.6044</v>
      </c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>
      <c r="A16" s="190">
        <v>14.0</v>
      </c>
      <c r="B16" s="191" t="s">
        <v>177</v>
      </c>
      <c r="C16" s="192">
        <v>5.0</v>
      </c>
      <c r="D16" s="193">
        <v>239200.0</v>
      </c>
      <c r="E16" s="193">
        <v>1196000.0</v>
      </c>
      <c r="F16" s="194">
        <f>IFERROR(__xludf.DUMMYFUNCTION("GOOGLEFINANCE(""034730"", ""price"")"),544000.0)</f>
        <v>544000</v>
      </c>
      <c r="G16" s="194">
        <f t="shared" si="1"/>
        <v>2720000</v>
      </c>
      <c r="H16" s="194">
        <f t="shared" si="2"/>
        <v>1524000</v>
      </c>
      <c r="I16" s="195">
        <f t="shared" si="3"/>
        <v>1.274247492</v>
      </c>
      <c r="J16" s="196">
        <v>819.78</v>
      </c>
      <c r="K16" s="197">
        <f t="shared" ref="K16:K17" si="9">G16/1458.93</f>
        <v>1864.380059</v>
      </c>
      <c r="L16" s="194">
        <f t="shared" ref="L16:L17" si="10">G16</f>
        <v>2720000</v>
      </c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>
      <c r="A17" s="190">
        <v>15.0</v>
      </c>
      <c r="B17" s="191" t="s">
        <v>32</v>
      </c>
      <c r="C17" s="192">
        <v>202.0</v>
      </c>
      <c r="D17" s="193">
        <v>11523.0</v>
      </c>
      <c r="E17" s="193">
        <v>2327720.0</v>
      </c>
      <c r="F17" s="194">
        <f>IFERROR(__xludf.DUMMYFUNCTION("GOOGLEFINANCE(""379800"", ""price"")"),24205.0)</f>
        <v>24205</v>
      </c>
      <c r="G17" s="194">
        <f t="shared" si="1"/>
        <v>4889410</v>
      </c>
      <c r="H17" s="194">
        <f t="shared" si="2"/>
        <v>2561690</v>
      </c>
      <c r="I17" s="195">
        <f t="shared" si="3"/>
        <v>1.100514667</v>
      </c>
      <c r="J17" s="196">
        <v>1595.5</v>
      </c>
      <c r="K17" s="197">
        <f t="shared" si="9"/>
        <v>3351.367098</v>
      </c>
      <c r="L17" s="194">
        <f t="shared" si="10"/>
        <v>4889410</v>
      </c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>
      <c r="A18" s="190">
        <v>16.0</v>
      </c>
      <c r="B18" s="191" t="s">
        <v>203</v>
      </c>
      <c r="C18" s="192">
        <v>7.0</v>
      </c>
      <c r="D18" s="206">
        <v>445.47</v>
      </c>
      <c r="E18" s="206">
        <v>3118.28</v>
      </c>
      <c r="F18" s="197">
        <f>IFERROR(__xludf.DUMMYFUNCTION("GOOGLEFINANCE(""SPY"", ""price"")"),733.83)</f>
        <v>733.83</v>
      </c>
      <c r="G18" s="197">
        <f t="shared" si="1"/>
        <v>5136.81</v>
      </c>
      <c r="H18" s="197">
        <f t="shared" si="2"/>
        <v>2018.53</v>
      </c>
      <c r="I18" s="195">
        <f t="shared" si="3"/>
        <v>0.6473216004</v>
      </c>
      <c r="J18" s="196">
        <v>3118.28</v>
      </c>
      <c r="K18" s="196">
        <v>4086.39</v>
      </c>
      <c r="L18" s="194">
        <f t="shared" ref="L18:L27" si="11">K18*1458.93</f>
        <v>5961756.963</v>
      </c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>
      <c r="A19" s="190">
        <v>17.0</v>
      </c>
      <c r="B19" s="191" t="s">
        <v>201</v>
      </c>
      <c r="C19" s="192">
        <v>8.983639</v>
      </c>
      <c r="D19" s="206">
        <v>92.75</v>
      </c>
      <c r="E19" s="206">
        <v>833.19</v>
      </c>
      <c r="F19" s="197">
        <f>IFERROR(__xludf.DUMMYFUNCTION("GOOGLEFINANCE(""SBUX"", ""price"")"),106.44)</f>
        <v>106.44</v>
      </c>
      <c r="G19" s="197">
        <f t="shared" si="1"/>
        <v>956.2185352</v>
      </c>
      <c r="H19" s="197">
        <f t="shared" si="2"/>
        <v>123.0285352</v>
      </c>
      <c r="I19" s="195">
        <f t="shared" si="3"/>
        <v>0.1476596397</v>
      </c>
      <c r="J19" s="196">
        <v>833.19</v>
      </c>
      <c r="K19" s="196">
        <v>1036.8</v>
      </c>
      <c r="L19" s="194">
        <f t="shared" si="11"/>
        <v>1512618.624</v>
      </c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>
      <c r="A20" s="199">
        <v>18.0</v>
      </c>
      <c r="B20" s="119" t="s">
        <v>200</v>
      </c>
      <c r="C20" s="200">
        <v>12.809376000000002</v>
      </c>
      <c r="D20" s="207">
        <v>342.65</v>
      </c>
      <c r="E20" s="207">
        <v>4389.11</v>
      </c>
      <c r="F20" s="205">
        <f>IFERROR(__xludf.DUMMYFUNCTION("GOOGLEFINANCE(""MSFT"", ""price"")"),413.96)</f>
        <v>413.96</v>
      </c>
      <c r="G20" s="205">
        <f t="shared" si="1"/>
        <v>5302.569289</v>
      </c>
      <c r="H20" s="205">
        <f t="shared" si="2"/>
        <v>913.459289</v>
      </c>
      <c r="I20" s="203">
        <f t="shared" si="3"/>
        <v>0.2081194796</v>
      </c>
      <c r="J20" s="204">
        <v>4389.11</v>
      </c>
      <c r="K20" s="204">
        <v>4976.31</v>
      </c>
      <c r="L20" s="202">
        <f t="shared" si="11"/>
        <v>7260087.948</v>
      </c>
      <c r="M20" s="119">
        <v>12.84</v>
      </c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>
      <c r="A21" s="190">
        <v>19.0</v>
      </c>
      <c r="B21" s="191" t="s">
        <v>211</v>
      </c>
      <c r="C21" s="192">
        <v>1.0</v>
      </c>
      <c r="D21" s="206">
        <v>319.3</v>
      </c>
      <c r="E21" s="206">
        <v>319.3</v>
      </c>
      <c r="F21" s="197">
        <f>IFERROR(__xludf.DUMMYFUNCTION("GOOGLEFINANCE(""BRK.B"", ""price"")"),469.83)</f>
        <v>469.83</v>
      </c>
      <c r="G21" s="197">
        <f t="shared" si="1"/>
        <v>469.83</v>
      </c>
      <c r="H21" s="197">
        <f t="shared" si="2"/>
        <v>150.53</v>
      </c>
      <c r="I21" s="195">
        <f t="shared" si="3"/>
        <v>0.4714375196</v>
      </c>
      <c r="J21" s="196">
        <v>319.3</v>
      </c>
      <c r="K21" s="196">
        <v>510.08</v>
      </c>
      <c r="L21" s="194">
        <f t="shared" si="11"/>
        <v>744171.0144</v>
      </c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>
      <c r="A22" s="190">
        <v>20.0</v>
      </c>
      <c r="B22" s="191" t="s">
        <v>212</v>
      </c>
      <c r="C22" s="192">
        <v>3.0</v>
      </c>
      <c r="D22" s="206">
        <v>150.75</v>
      </c>
      <c r="E22" s="206">
        <v>452.26</v>
      </c>
      <c r="F22" s="197">
        <f>IFERROR(__xludf.DUMMYFUNCTION("GOOGLEFINANCE(""SOXX"", ""price"")"),506.87)</f>
        <v>506.87</v>
      </c>
      <c r="G22" s="197">
        <f t="shared" si="1"/>
        <v>1520.61</v>
      </c>
      <c r="H22" s="197">
        <f t="shared" si="2"/>
        <v>1068.35</v>
      </c>
      <c r="I22" s="195">
        <f t="shared" si="3"/>
        <v>2.36224738</v>
      </c>
      <c r="J22" s="196">
        <v>452.26</v>
      </c>
      <c r="K22" s="196">
        <v>603.45</v>
      </c>
      <c r="L22" s="194">
        <f t="shared" si="11"/>
        <v>880391.3085</v>
      </c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>
      <c r="A23" s="190">
        <v>21.0</v>
      </c>
      <c r="B23" s="191" t="s">
        <v>197</v>
      </c>
      <c r="C23" s="192">
        <v>0.22056</v>
      </c>
      <c r="D23" s="206">
        <v>127.48</v>
      </c>
      <c r="E23" s="206">
        <v>28.12</v>
      </c>
      <c r="F23" s="197">
        <f>IFERROR(__xludf.DUMMYFUNCTION("GOOGLEFINANCE(""GOOGL"", ""price"")"),398.04)</f>
        <v>398.04</v>
      </c>
      <c r="G23" s="197">
        <f t="shared" si="1"/>
        <v>87.7917024</v>
      </c>
      <c r="H23" s="197">
        <f t="shared" si="2"/>
        <v>59.6717024</v>
      </c>
      <c r="I23" s="195">
        <f t="shared" si="3"/>
        <v>2.122037781</v>
      </c>
      <c r="J23" s="196">
        <v>28.12</v>
      </c>
      <c r="K23" s="196">
        <v>36.84</v>
      </c>
      <c r="L23" s="194">
        <f t="shared" si="11"/>
        <v>53746.9812</v>
      </c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>
      <c r="A24" s="190">
        <v>22.0</v>
      </c>
      <c r="B24" s="191" t="s">
        <v>213</v>
      </c>
      <c r="C24" s="192">
        <v>0.4641</v>
      </c>
      <c r="D24" s="206">
        <v>149.44</v>
      </c>
      <c r="E24" s="206">
        <v>69.36</v>
      </c>
      <c r="F24" s="197">
        <f>IFERROR(__xludf.DUMMYFUNCTION("GOOGLEFINANCE(""AMZN"", ""price"")"),274.99)</f>
        <v>274.99</v>
      </c>
      <c r="G24" s="197">
        <f t="shared" si="1"/>
        <v>127.622859</v>
      </c>
      <c r="H24" s="197">
        <f t="shared" si="2"/>
        <v>58.262859</v>
      </c>
      <c r="I24" s="195">
        <f t="shared" si="3"/>
        <v>0.8400066176</v>
      </c>
      <c r="J24" s="196">
        <v>69.36</v>
      </c>
      <c r="K24" s="196">
        <v>95.15</v>
      </c>
      <c r="L24" s="194">
        <f t="shared" si="11"/>
        <v>138817.1895</v>
      </c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>
      <c r="A25" s="199">
        <v>23.0</v>
      </c>
      <c r="B25" s="119" t="s">
        <v>214</v>
      </c>
      <c r="C25" s="200">
        <v>0.369433</v>
      </c>
      <c r="D25" s="207">
        <v>550.58</v>
      </c>
      <c r="E25" s="207">
        <v>203.4</v>
      </c>
      <c r="F25" s="205">
        <f>IFERROR(__xludf.DUMMYFUNCTION("GOOGLEFINANCE(""TSLA"", ""price"")"),398.73)</f>
        <v>398.73</v>
      </c>
      <c r="G25" s="205">
        <f t="shared" si="1"/>
        <v>147.3040201</v>
      </c>
      <c r="H25" s="205">
        <f t="shared" si="2"/>
        <v>-56.09597991</v>
      </c>
      <c r="I25" s="203">
        <f t="shared" si="3"/>
        <v>-0.275791445</v>
      </c>
      <c r="J25" s="204">
        <v>203.4</v>
      </c>
      <c r="K25" s="204">
        <v>105.16</v>
      </c>
      <c r="L25" s="202">
        <f t="shared" si="11"/>
        <v>153421.0788</v>
      </c>
      <c r="M25" s="119">
        <v>0.468</v>
      </c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>
      <c r="A26" s="190">
        <v>24.0</v>
      </c>
      <c r="B26" s="191" t="s">
        <v>204</v>
      </c>
      <c r="C26" s="192">
        <v>1.02</v>
      </c>
      <c r="D26" s="206">
        <v>631.83</v>
      </c>
      <c r="E26" s="206">
        <v>644.47</v>
      </c>
      <c r="F26" s="197">
        <f>IFERROR(__xludf.DUMMYFUNCTION("GOOGLEFINANCE(""ASML"", ""price"")"),1544.74)</f>
        <v>1544.74</v>
      </c>
      <c r="G26" s="197">
        <f t="shared" si="1"/>
        <v>1575.6348</v>
      </c>
      <c r="H26" s="197">
        <f t="shared" si="2"/>
        <v>931.1648</v>
      </c>
      <c r="I26" s="195">
        <f t="shared" si="3"/>
        <v>1.444853601</v>
      </c>
      <c r="J26" s="196">
        <v>644.47</v>
      </c>
      <c r="K26" s="196">
        <v>713.86</v>
      </c>
      <c r="L26" s="194">
        <f t="shared" si="11"/>
        <v>1041471.77</v>
      </c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</row>
    <row r="27">
      <c r="A27" s="190">
        <v>25.0</v>
      </c>
      <c r="B27" s="191" t="s">
        <v>215</v>
      </c>
      <c r="C27" s="192">
        <v>3.0</v>
      </c>
      <c r="D27" s="206">
        <v>403.66</v>
      </c>
      <c r="E27" s="206">
        <v>1210.98</v>
      </c>
      <c r="F27" s="197">
        <f>IFERROR(__xludf.DUMMYFUNCTION("GOOGLEFINANCE(""IVV"", ""price"")"),737.41)</f>
        <v>737.41</v>
      </c>
      <c r="G27" s="197">
        <f t="shared" si="1"/>
        <v>2212.23</v>
      </c>
      <c r="H27" s="197">
        <f t="shared" si="2"/>
        <v>1001.25</v>
      </c>
      <c r="I27" s="195">
        <f t="shared" si="3"/>
        <v>0.8268096913</v>
      </c>
      <c r="J27" s="196">
        <v>1210.98</v>
      </c>
      <c r="K27" s="196">
        <v>1760.37</v>
      </c>
      <c r="L27" s="194">
        <f t="shared" si="11"/>
        <v>2568256.604</v>
      </c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</row>
    <row r="28">
      <c r="A28" s="190">
        <v>26.0</v>
      </c>
      <c r="B28" s="191" t="s">
        <v>17</v>
      </c>
      <c r="C28" s="192">
        <v>211.0</v>
      </c>
      <c r="D28" s="193">
        <v>16830.0</v>
      </c>
      <c r="E28" s="193">
        <v>3551170.0</v>
      </c>
      <c r="F28" s="194">
        <f>IFERROR(__xludf.DUMMYFUNCTION("GOOGLEFINANCE(""360750"", ""price"")"),26545.0)</f>
        <v>26545</v>
      </c>
      <c r="G28" s="194">
        <f t="shared" si="1"/>
        <v>5600995</v>
      </c>
      <c r="H28" s="194">
        <f t="shared" si="2"/>
        <v>2049825</v>
      </c>
      <c r="I28" s="195">
        <f t="shared" si="3"/>
        <v>0.5772252525</v>
      </c>
      <c r="J28" s="196">
        <v>2434.09</v>
      </c>
      <c r="K28" s="197">
        <f t="shared" ref="K28:K29" si="12">G28/1458.93</f>
        <v>3839.111541</v>
      </c>
      <c r="L28" s="194">
        <f t="shared" ref="L28:L29" si="13">G28</f>
        <v>5600995</v>
      </c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>
      <c r="A29" s="190">
        <v>27.0</v>
      </c>
      <c r="B29" s="191" t="s">
        <v>6</v>
      </c>
      <c r="C29" s="192">
        <v>257.0</v>
      </c>
      <c r="D29" s="193">
        <v>14967.0</v>
      </c>
      <c r="E29" s="193">
        <v>3846410.0</v>
      </c>
      <c r="F29" s="194">
        <f>IFERROR(__xludf.DUMMYFUNCTION("GOOGLEFINANCE(""381180"", ""price"")"),43465.0)</f>
        <v>43465</v>
      </c>
      <c r="G29" s="194">
        <f t="shared" si="1"/>
        <v>11170505</v>
      </c>
      <c r="H29" s="194">
        <f t="shared" si="2"/>
        <v>7324095</v>
      </c>
      <c r="I29" s="195">
        <f t="shared" si="3"/>
        <v>1.904137884</v>
      </c>
      <c r="J29" s="196">
        <v>2636.46</v>
      </c>
      <c r="K29" s="197">
        <f t="shared" si="12"/>
        <v>7656.642197</v>
      </c>
      <c r="L29" s="194">
        <f t="shared" si="13"/>
        <v>11170505</v>
      </c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>
      <c r="A30" s="199">
        <v>28.0</v>
      </c>
      <c r="B30" s="119" t="s">
        <v>198</v>
      </c>
      <c r="C30" s="200">
        <v>56.858830999999995</v>
      </c>
      <c r="D30" s="207">
        <v>57.01</v>
      </c>
      <c r="E30" s="207">
        <v>3241.25</v>
      </c>
      <c r="F30" s="205">
        <f>IFERROR(__xludf.DUMMYFUNCTION("GOOGLEFINANCE(""O"", ""price"")"),64.01)</f>
        <v>64.01</v>
      </c>
      <c r="G30" s="205">
        <f t="shared" si="1"/>
        <v>3639.533772</v>
      </c>
      <c r="H30" s="205">
        <f t="shared" si="2"/>
        <v>398.2837723</v>
      </c>
      <c r="I30" s="203">
        <f t="shared" si="3"/>
        <v>0.1228796829</v>
      </c>
      <c r="J30" s="204">
        <v>3241.25</v>
      </c>
      <c r="K30" s="204">
        <v>3272.23</v>
      </c>
      <c r="L30" s="202">
        <f>K30*1458.93</f>
        <v>4773954.514</v>
      </c>
      <c r="M30" s="119">
        <v>56.89</v>
      </c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>
      <c r="A31" s="190">
        <v>29.0</v>
      </c>
      <c r="B31" s="191" t="s">
        <v>29</v>
      </c>
      <c r="C31" s="192">
        <v>95.0</v>
      </c>
      <c r="D31" s="193">
        <v>12152.0</v>
      </c>
      <c r="E31" s="193">
        <v>1154465.0</v>
      </c>
      <c r="F31" s="194">
        <f>IFERROR(__xludf.DUMMYFUNCTION("GOOGLEFINANCE(""305080"", ""price"")"),13150.0)</f>
        <v>13150</v>
      </c>
      <c r="G31" s="194">
        <f t="shared" si="1"/>
        <v>1249250</v>
      </c>
      <c r="H31" s="194">
        <f t="shared" si="2"/>
        <v>94785</v>
      </c>
      <c r="I31" s="195">
        <f t="shared" si="3"/>
        <v>0.08210296544</v>
      </c>
      <c r="J31" s="196">
        <v>791.31</v>
      </c>
      <c r="K31" s="197">
        <f t="shared" ref="K31:K32" si="14">G31/1458.93</f>
        <v>856.2782313</v>
      </c>
      <c r="L31" s="194">
        <f t="shared" ref="L31:L32" si="15">G31</f>
        <v>1249250</v>
      </c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>
      <c r="A32" s="199">
        <v>30.0</v>
      </c>
      <c r="B32" s="119" t="s">
        <v>34</v>
      </c>
      <c r="C32" s="200">
        <v>9.0</v>
      </c>
      <c r="D32" s="201">
        <v>10225.0</v>
      </c>
      <c r="E32" s="201">
        <v>92025.0</v>
      </c>
      <c r="F32" s="202">
        <f>IFERROR(__xludf.DUMMYFUNCTION("GOOGLEFINANCE(""278530"", ""price"")"),41750.0)</f>
        <v>41750</v>
      </c>
      <c r="G32" s="202">
        <f t="shared" si="1"/>
        <v>375750</v>
      </c>
      <c r="H32" s="202">
        <f t="shared" si="2"/>
        <v>283725</v>
      </c>
      <c r="I32" s="203">
        <f t="shared" si="3"/>
        <v>3.083129584</v>
      </c>
      <c r="J32" s="204">
        <v>63.08</v>
      </c>
      <c r="K32" s="205">
        <f t="shared" si="14"/>
        <v>257.5517674</v>
      </c>
      <c r="L32" s="202">
        <f t="shared" si="15"/>
        <v>375750</v>
      </c>
      <c r="M32" s="119">
        <v>11.0</v>
      </c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>
      <c r="A33" s="190">
        <v>31.0</v>
      </c>
      <c r="B33" s="191" t="s">
        <v>69</v>
      </c>
      <c r="C33" s="192">
        <v>5.0</v>
      </c>
      <c r="D33" s="206">
        <v>82.06</v>
      </c>
      <c r="E33" s="206">
        <v>410.3</v>
      </c>
      <c r="F33" s="197">
        <f>IFERROR(__xludf.DUMMYFUNCTION("GOOGLEFINANCE(""TSM"", ""price"")"),419.5)</f>
        <v>419.5</v>
      </c>
      <c r="G33" s="197">
        <f t="shared" si="1"/>
        <v>2097.5</v>
      </c>
      <c r="H33" s="197">
        <f t="shared" si="2"/>
        <v>1687.2</v>
      </c>
      <c r="I33" s="195">
        <f t="shared" si="3"/>
        <v>4.112113088</v>
      </c>
      <c r="J33" s="196">
        <v>410.3</v>
      </c>
      <c r="K33" s="196">
        <v>864.85</v>
      </c>
      <c r="L33" s="194">
        <f t="shared" ref="L33:L34" si="16">K33*1458.93</f>
        <v>1261755.611</v>
      </c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>
      <c r="A34" s="190">
        <v>32.0</v>
      </c>
      <c r="B34" s="191" t="s">
        <v>216</v>
      </c>
      <c r="C34" s="192">
        <v>8.0</v>
      </c>
      <c r="D34" s="206">
        <v>44.55</v>
      </c>
      <c r="E34" s="206">
        <v>356.4</v>
      </c>
      <c r="F34" s="197">
        <f>IFERROR(__xludf.DUMMYFUNCTION("GOOGLEFINANCE(""C"", ""price"")"),127.6)</f>
        <v>127.6</v>
      </c>
      <c r="G34" s="197">
        <f t="shared" si="1"/>
        <v>1020.8</v>
      </c>
      <c r="H34" s="197">
        <f t="shared" si="2"/>
        <v>664.4</v>
      </c>
      <c r="I34" s="195">
        <f t="shared" si="3"/>
        <v>1.864197531</v>
      </c>
      <c r="J34" s="196">
        <v>356.4</v>
      </c>
      <c r="K34" s="196">
        <v>617.36</v>
      </c>
      <c r="L34" s="194">
        <f t="shared" si="16"/>
        <v>900685.0248</v>
      </c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>
      <c r="A35" s="190">
        <v>33.0</v>
      </c>
      <c r="B35" s="191" t="s">
        <v>220</v>
      </c>
      <c r="C35" s="192">
        <v>136.0</v>
      </c>
      <c r="D35" s="193">
        <v>10607.0</v>
      </c>
      <c r="E35" s="193">
        <v>1442510.0</v>
      </c>
      <c r="F35" s="194">
        <f>IFERROR(__xludf.DUMMYFUNCTION("GOOGLEFINANCE(""446720"", ""price"")"),13400.0)</f>
        <v>13400</v>
      </c>
      <c r="G35" s="194">
        <f t="shared" si="1"/>
        <v>1822400</v>
      </c>
      <c r="H35" s="194">
        <f t="shared" si="2"/>
        <v>379890</v>
      </c>
      <c r="I35" s="195">
        <f t="shared" si="3"/>
        <v>0.2633534603</v>
      </c>
      <c r="J35" s="196">
        <v>988.75</v>
      </c>
      <c r="K35" s="197">
        <f t="shared" ref="K35:K37" si="17">G35/1458.93</f>
        <v>1249.13464</v>
      </c>
      <c r="L35" s="194">
        <f t="shared" ref="L35:L37" si="18">G35</f>
        <v>1822400</v>
      </c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>
      <c r="A36" s="190">
        <v>34.0</v>
      </c>
      <c r="B36" s="191" t="s">
        <v>83</v>
      </c>
      <c r="C36" s="192">
        <v>8.0</v>
      </c>
      <c r="D36" s="193">
        <v>371250.0</v>
      </c>
      <c r="E36" s="193">
        <v>2970000.0</v>
      </c>
      <c r="F36" s="194">
        <f>IFERROR(__xludf.DUMMYFUNCTION("GOOGLEFINANCE(""005490"", ""price"")"),535000.0)</f>
        <v>535000</v>
      </c>
      <c r="G36" s="194">
        <f t="shared" si="1"/>
        <v>4280000</v>
      </c>
      <c r="H36" s="194">
        <f t="shared" si="2"/>
        <v>1310000</v>
      </c>
      <c r="I36" s="195">
        <f t="shared" si="3"/>
        <v>0.4410774411</v>
      </c>
      <c r="J36" s="196">
        <v>2035.74</v>
      </c>
      <c r="K36" s="197">
        <f t="shared" si="17"/>
        <v>2933.656858</v>
      </c>
      <c r="L36" s="194">
        <f t="shared" si="18"/>
        <v>4280000</v>
      </c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>
      <c r="A37" s="190">
        <v>35.0</v>
      </c>
      <c r="B37" s="191" t="s">
        <v>65</v>
      </c>
      <c r="C37" s="192">
        <v>15.0</v>
      </c>
      <c r="D37" s="193">
        <v>47533.0</v>
      </c>
      <c r="E37" s="193">
        <v>713000.0</v>
      </c>
      <c r="F37" s="194">
        <f>IFERROR(__xludf.DUMMYFUNCTION("GOOGLEFINANCE(""105560"", ""price"")"),161200.0)</f>
        <v>161200</v>
      </c>
      <c r="G37" s="194">
        <f t="shared" si="1"/>
        <v>2418000</v>
      </c>
      <c r="H37" s="194">
        <f t="shared" si="2"/>
        <v>1705000</v>
      </c>
      <c r="I37" s="195">
        <f t="shared" si="3"/>
        <v>2.391304348</v>
      </c>
      <c r="J37" s="196">
        <v>488.71</v>
      </c>
      <c r="K37" s="197">
        <f t="shared" si="17"/>
        <v>1657.379038</v>
      </c>
      <c r="L37" s="194">
        <f t="shared" si="18"/>
        <v>2418000</v>
      </c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>
      <c r="A38" s="190">
        <v>36.0</v>
      </c>
      <c r="B38" s="191" t="s">
        <v>217</v>
      </c>
      <c r="C38" s="192">
        <v>7.308885</v>
      </c>
      <c r="D38" s="206">
        <v>493.69</v>
      </c>
      <c r="E38" s="206">
        <v>3608.3</v>
      </c>
      <c r="F38" s="197">
        <f>IFERROR(__xludf.DUMMYFUNCTION("GOOGLEFINANCE(""VOO"", ""price"")"),674.66)</f>
        <v>674.66</v>
      </c>
      <c r="G38" s="197">
        <f t="shared" si="1"/>
        <v>4931.012354</v>
      </c>
      <c r="H38" s="197">
        <f t="shared" si="2"/>
        <v>1322.712354</v>
      </c>
      <c r="I38" s="195">
        <f t="shared" si="3"/>
        <v>0.3665749395</v>
      </c>
      <c r="J38" s="196">
        <v>3608.3</v>
      </c>
      <c r="K38" s="196">
        <v>3924.29</v>
      </c>
      <c r="L38" s="194">
        <f>K38*1458.93</f>
        <v>5725264.41</v>
      </c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>
      <c r="A39" s="190">
        <v>37.0</v>
      </c>
      <c r="B39" s="191" t="s">
        <v>20</v>
      </c>
      <c r="C39" s="192">
        <v>148.0</v>
      </c>
      <c r="D39" s="193">
        <v>11470.0</v>
      </c>
      <c r="E39" s="193">
        <v>1697510.0</v>
      </c>
      <c r="F39" s="194">
        <f>IFERROR(__xludf.DUMMYFUNCTION("GOOGLEFINANCE(""458730"", ""price"")"),14620.0)</f>
        <v>14620</v>
      </c>
      <c r="G39" s="194">
        <f t="shared" si="1"/>
        <v>2163760</v>
      </c>
      <c r="H39" s="194">
        <f t="shared" si="2"/>
        <v>466250</v>
      </c>
      <c r="I39" s="195">
        <f t="shared" si="3"/>
        <v>0.2746670123</v>
      </c>
      <c r="J39" s="196">
        <v>1163.53</v>
      </c>
      <c r="K39" s="197">
        <f t="shared" ref="K39:K45" si="19">G39/1458.93</f>
        <v>1483.114337</v>
      </c>
      <c r="L39" s="194">
        <f t="shared" ref="L39:L45" si="20">G39</f>
        <v>2163760</v>
      </c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>
      <c r="A40" s="190">
        <v>38.0</v>
      </c>
      <c r="B40" s="191" t="s">
        <v>225</v>
      </c>
      <c r="C40" s="192">
        <v>126.0</v>
      </c>
      <c r="D40" s="193">
        <v>18204.0</v>
      </c>
      <c r="E40" s="193">
        <v>2293755.0</v>
      </c>
      <c r="F40" s="194">
        <f>IFERROR(__xludf.DUMMYFUNCTION("GOOGLEFINANCE(""360200"", ""price"")"),26835.0)</f>
        <v>26835</v>
      </c>
      <c r="G40" s="194">
        <f t="shared" si="1"/>
        <v>3381210</v>
      </c>
      <c r="H40" s="194">
        <f t="shared" si="2"/>
        <v>1087455</v>
      </c>
      <c r="I40" s="195">
        <f t="shared" si="3"/>
        <v>0.4740937894</v>
      </c>
      <c r="J40" s="196">
        <v>1572.22</v>
      </c>
      <c r="K40" s="197">
        <f t="shared" si="19"/>
        <v>2317.595772</v>
      </c>
      <c r="L40" s="194">
        <f t="shared" si="20"/>
        <v>3381210</v>
      </c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>
      <c r="A41" s="190">
        <v>39.0</v>
      </c>
      <c r="B41" s="191" t="s">
        <v>218</v>
      </c>
      <c r="C41" s="192">
        <v>22.0</v>
      </c>
      <c r="D41" s="193">
        <v>8826.0</v>
      </c>
      <c r="E41" s="193">
        <v>194170.0</v>
      </c>
      <c r="F41" s="194">
        <f>IFERROR(__xludf.DUMMYFUNCTION("GOOGLEFINANCE(""292560"", ""price"")"),8595.0)</f>
        <v>8595</v>
      </c>
      <c r="G41" s="194">
        <f t="shared" si="1"/>
        <v>189090</v>
      </c>
      <c r="H41" s="194">
        <f t="shared" si="2"/>
        <v>-5080</v>
      </c>
      <c r="I41" s="195">
        <f t="shared" si="3"/>
        <v>-0.02616264098</v>
      </c>
      <c r="J41" s="196">
        <v>133.09</v>
      </c>
      <c r="K41" s="197">
        <f t="shared" si="19"/>
        <v>129.6086858</v>
      </c>
      <c r="L41" s="194">
        <f t="shared" si="20"/>
        <v>189090</v>
      </c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>
      <c r="A42" s="190">
        <v>40.0</v>
      </c>
      <c r="B42" s="191" t="s">
        <v>26</v>
      </c>
      <c r="C42" s="192">
        <v>113.0</v>
      </c>
      <c r="D42" s="193">
        <v>15168.0</v>
      </c>
      <c r="E42" s="193">
        <v>1714015.0</v>
      </c>
      <c r="F42" s="194">
        <f>IFERROR(__xludf.DUMMYFUNCTION("GOOGLEFINANCE(""411060"", ""price"")"),30815.0)</f>
        <v>30815</v>
      </c>
      <c r="G42" s="194">
        <f t="shared" si="1"/>
        <v>3482095</v>
      </c>
      <c r="H42" s="194">
        <f t="shared" si="2"/>
        <v>1768080</v>
      </c>
      <c r="I42" s="195">
        <f t="shared" si="3"/>
        <v>1.031542898</v>
      </c>
      <c r="J42" s="196">
        <v>1174.84</v>
      </c>
      <c r="K42" s="197">
        <f t="shared" si="19"/>
        <v>2386.745766</v>
      </c>
      <c r="L42" s="194">
        <f t="shared" si="20"/>
        <v>3482095</v>
      </c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>
      <c r="A43" s="190">
        <v>41.0</v>
      </c>
      <c r="B43" s="191" t="s">
        <v>219</v>
      </c>
      <c r="C43" s="192">
        <v>56.0</v>
      </c>
      <c r="D43" s="193">
        <v>24039.0</v>
      </c>
      <c r="E43" s="193">
        <v>1346195.0</v>
      </c>
      <c r="F43" s="194">
        <f>IFERROR(__xludf.DUMMYFUNCTION("GOOGLEFINANCE(""200250"", ""price"")"),22990.0)</f>
        <v>22990</v>
      </c>
      <c r="G43" s="194">
        <f t="shared" si="1"/>
        <v>1287440</v>
      </c>
      <c r="H43" s="194">
        <f t="shared" si="2"/>
        <v>-58755</v>
      </c>
      <c r="I43" s="195">
        <f t="shared" si="3"/>
        <v>-0.04364523713</v>
      </c>
      <c r="J43" s="196">
        <v>922.73</v>
      </c>
      <c r="K43" s="197">
        <f t="shared" si="19"/>
        <v>882.4549499</v>
      </c>
      <c r="L43" s="194">
        <f t="shared" si="20"/>
        <v>1287440</v>
      </c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>
      <c r="A44" s="190">
        <v>42.0</v>
      </c>
      <c r="B44" s="191" t="s">
        <v>23</v>
      </c>
      <c r="C44" s="192">
        <v>126.0</v>
      </c>
      <c r="D44" s="193">
        <v>19764.0</v>
      </c>
      <c r="E44" s="193">
        <v>2490215.0</v>
      </c>
      <c r="F44" s="194">
        <f>IFERROR(__xludf.DUMMYFUNCTION("GOOGLEFINANCE(""367380"", ""price"")"),31645.0)</f>
        <v>31645</v>
      </c>
      <c r="G44" s="194">
        <f t="shared" si="1"/>
        <v>3987270</v>
      </c>
      <c r="H44" s="194">
        <f t="shared" si="2"/>
        <v>1497055</v>
      </c>
      <c r="I44" s="195">
        <f t="shared" si="3"/>
        <v>0.6011749989</v>
      </c>
      <c r="J44" s="196">
        <v>1706.88</v>
      </c>
      <c r="K44" s="197">
        <f t="shared" si="19"/>
        <v>2733.009809</v>
      </c>
      <c r="L44" s="194">
        <f t="shared" si="20"/>
        <v>3987270</v>
      </c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>
      <c r="A45" s="190">
        <v>43.0</v>
      </c>
      <c r="B45" s="191" t="s">
        <v>14</v>
      </c>
      <c r="C45" s="192">
        <v>136.0</v>
      </c>
      <c r="D45" s="193">
        <v>11122.0</v>
      </c>
      <c r="E45" s="193">
        <v>1512585.0</v>
      </c>
      <c r="F45" s="194">
        <f>IFERROR(__xludf.DUMMYFUNCTION("GOOGLEFINANCE(""456880"", ""price"")"),12630.0)</f>
        <v>12630</v>
      </c>
      <c r="G45" s="194">
        <f t="shared" si="1"/>
        <v>1717680</v>
      </c>
      <c r="H45" s="194">
        <f t="shared" si="2"/>
        <v>205095</v>
      </c>
      <c r="I45" s="195">
        <f t="shared" si="3"/>
        <v>0.1355923799</v>
      </c>
      <c r="J45" s="196">
        <v>1036.78</v>
      </c>
      <c r="K45" s="197">
        <f t="shared" si="19"/>
        <v>1177.356007</v>
      </c>
      <c r="L45" s="194">
        <f t="shared" si="20"/>
        <v>1717680</v>
      </c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>
      <c r="A46" s="190">
        <v>44.0</v>
      </c>
      <c r="B46" s="191" t="s">
        <v>50</v>
      </c>
      <c r="C46" s="192">
        <v>12.34346</v>
      </c>
      <c r="D46" s="206">
        <v>149.62</v>
      </c>
      <c r="E46" s="206">
        <v>1846.87</v>
      </c>
      <c r="F46" s="197">
        <f>IFERROR(__xludf.DUMMYFUNCTION("GOOGLEFINANCE(""XLV"", ""price"")"),145.4)</f>
        <v>145.4</v>
      </c>
      <c r="G46" s="197">
        <f t="shared" si="1"/>
        <v>1794.739084</v>
      </c>
      <c r="H46" s="197">
        <f t="shared" si="2"/>
        <v>-52.130916</v>
      </c>
      <c r="I46" s="195">
        <f t="shared" si="3"/>
        <v>-0.02822662992</v>
      </c>
      <c r="J46" s="196">
        <v>1846.87</v>
      </c>
      <c r="K46" s="196">
        <v>1846.33</v>
      </c>
      <c r="L46" s="194">
        <f t="shared" ref="L46:L47" si="21">K46*1458.93</f>
        <v>2693666.227</v>
      </c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>
      <c r="A47" s="190">
        <v>45.0</v>
      </c>
      <c r="B47" s="191" t="s">
        <v>67</v>
      </c>
      <c r="C47" s="192">
        <v>2.0</v>
      </c>
      <c r="D47" s="206">
        <v>106.72</v>
      </c>
      <c r="E47" s="206">
        <v>213.44</v>
      </c>
      <c r="F47" s="197">
        <f>IFERROR(__xludf.DUMMYFUNCTION("GOOGLEFINANCE(""NVDA"", ""price"")"),207.83)</f>
        <v>207.83</v>
      </c>
      <c r="G47" s="197">
        <f t="shared" si="1"/>
        <v>415.66</v>
      </c>
      <c r="H47" s="197">
        <f t="shared" si="2"/>
        <v>202.22</v>
      </c>
      <c r="I47" s="195">
        <f t="shared" si="3"/>
        <v>0.9474325337</v>
      </c>
      <c r="J47" s="196">
        <v>213.44</v>
      </c>
      <c r="K47" s="196">
        <v>228.12</v>
      </c>
      <c r="L47" s="194">
        <f t="shared" si="21"/>
        <v>332811.1116</v>
      </c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>
      <c r="A48" s="127">
        <v>46.0</v>
      </c>
      <c r="B48" s="109" t="s">
        <v>53</v>
      </c>
      <c r="C48" s="128">
        <v>172.0</v>
      </c>
      <c r="D48" s="129">
        <v>14287.0</v>
      </c>
      <c r="E48" s="129">
        <v>2457310.0</v>
      </c>
      <c r="F48" s="65">
        <f>IFERROR(__xludf.DUMMYFUNCTION("GOOGLEFINANCE(""434060"", ""price"")"),18195.0)</f>
        <v>18195</v>
      </c>
      <c r="G48" s="65">
        <f t="shared" si="1"/>
        <v>3129540</v>
      </c>
      <c r="H48" s="65">
        <f t="shared" si="2"/>
        <v>672230</v>
      </c>
      <c r="I48" s="130">
        <f t="shared" si="3"/>
        <v>0.2735633681</v>
      </c>
      <c r="J48" s="131">
        <v>1684.32</v>
      </c>
      <c r="K48" s="132">
        <f>G48/1458.93</f>
        <v>2145.092636</v>
      </c>
      <c r="L48" s="65">
        <f>G48</f>
        <v>3129540</v>
      </c>
    </row>
    <row r="49">
      <c r="B49" s="109" t="s">
        <v>129</v>
      </c>
      <c r="C49" s="133">
        <v>80822.2</v>
      </c>
      <c r="D49" s="138"/>
      <c r="E49" s="138"/>
      <c r="F49" s="132"/>
      <c r="G49" s="132"/>
      <c r="H49" s="132"/>
      <c r="I49" s="130"/>
      <c r="J49" s="132"/>
      <c r="K49" s="132"/>
      <c r="L49" s="65"/>
    </row>
    <row r="50">
      <c r="B50" s="109" t="s">
        <v>138</v>
      </c>
      <c r="C50" s="133">
        <v>99145.9</v>
      </c>
    </row>
    <row r="51">
      <c r="B51" s="109" t="s">
        <v>139</v>
      </c>
      <c r="C51" s="133">
        <v>18323.7</v>
      </c>
    </row>
    <row r="52">
      <c r="B52" s="109" t="s">
        <v>140</v>
      </c>
      <c r="C52" s="135">
        <v>0.2267</v>
      </c>
    </row>
    <row r="53">
      <c r="B53" s="64"/>
      <c r="C53" s="136"/>
    </row>
  </sheetData>
  <drawing r:id="rId1"/>
</worksheet>
</file>